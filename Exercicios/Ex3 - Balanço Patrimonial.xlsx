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360" yWindow="15" windowWidth="11340" windowHeight="6540"/>
  </bookViews>
  <sheets>
    <sheet name="Dados" sheetId="2" r:id="rId1"/>
    <sheet name="BP" sheetId="1" r:id="rId2"/>
  </sheets>
  <calcPr calcId="145621"/>
</workbook>
</file>

<file path=xl/calcChain.xml><?xml version="1.0" encoding="utf-8"?>
<calcChain xmlns="http://schemas.openxmlformats.org/spreadsheetml/2006/main">
  <c r="D26" i="1" l="1"/>
  <c r="D25" i="1"/>
  <c r="D24" i="1"/>
  <c r="D21" i="1"/>
  <c r="D22" i="1"/>
  <c r="D23" i="1"/>
  <c r="D20" i="1"/>
  <c r="M10" i="1"/>
  <c r="K7" i="1"/>
  <c r="K10" i="1"/>
  <c r="C25" i="1" s="1"/>
  <c r="K15" i="1"/>
  <c r="I17" i="1"/>
  <c r="I15" i="1"/>
  <c r="I10" i="1"/>
  <c r="I7" i="1"/>
  <c r="D17" i="1"/>
  <c r="D13" i="1"/>
  <c r="D6" i="1"/>
  <c r="B17" i="1"/>
  <c r="B13" i="1"/>
  <c r="F13" i="1" s="1"/>
  <c r="B6" i="1"/>
  <c r="E13" i="1"/>
  <c r="F12" i="1"/>
  <c r="E12" i="1"/>
  <c r="C12" i="1"/>
  <c r="F11" i="1"/>
  <c r="E11" i="1"/>
  <c r="C11" i="1"/>
  <c r="F10" i="1"/>
  <c r="E10" i="1"/>
  <c r="C10" i="1"/>
  <c r="C3" i="1"/>
  <c r="E3" i="1"/>
  <c r="F3" i="1"/>
  <c r="M3" i="1"/>
  <c r="C4" i="1"/>
  <c r="E4" i="1"/>
  <c r="F4" i="1"/>
  <c r="M4" i="1"/>
  <c r="C5" i="1"/>
  <c r="E5" i="1"/>
  <c r="F5" i="1"/>
  <c r="M5" i="1"/>
  <c r="C6" i="1"/>
  <c r="E6" i="1"/>
  <c r="F6" i="1"/>
  <c r="M6" i="1"/>
  <c r="M7" i="1"/>
  <c r="C9" i="1"/>
  <c r="E9" i="1"/>
  <c r="F9" i="1"/>
  <c r="M9" i="1"/>
  <c r="J7" i="1"/>
  <c r="L3" i="1"/>
  <c r="J13" i="1"/>
  <c r="L13" i="1"/>
  <c r="M13" i="1"/>
  <c r="J14" i="1"/>
  <c r="L14" i="1"/>
  <c r="M14" i="1"/>
  <c r="M15" i="1"/>
  <c r="F17" i="1"/>
  <c r="M17" i="1"/>
  <c r="B20" i="1"/>
  <c r="C20" i="1"/>
  <c r="B21" i="1"/>
  <c r="C21" i="1"/>
  <c r="B22" i="1"/>
  <c r="C22" i="1"/>
  <c r="C23" i="1"/>
  <c r="B24" i="1"/>
  <c r="C24" i="1"/>
  <c r="C26" i="1"/>
  <c r="J9" i="1" l="1"/>
  <c r="B26" i="1"/>
  <c r="B25" i="1"/>
  <c r="B23" i="1"/>
  <c r="C13" i="1"/>
  <c r="L9" i="1"/>
  <c r="L7" i="1"/>
  <c r="J6" i="1"/>
  <c r="J5" i="1"/>
  <c r="J4" i="1"/>
  <c r="J3" i="1"/>
  <c r="L6" i="1"/>
  <c r="L5" i="1"/>
  <c r="L4" i="1"/>
</calcChain>
</file>

<file path=xl/sharedStrings.xml><?xml version="1.0" encoding="utf-8"?>
<sst xmlns="http://schemas.openxmlformats.org/spreadsheetml/2006/main" count="57" uniqueCount="37">
  <si>
    <t>ATIVO</t>
  </si>
  <si>
    <t>PASSIVO</t>
  </si>
  <si>
    <t>Circulante</t>
  </si>
  <si>
    <t>Caixa</t>
  </si>
  <si>
    <t>Fornecedores</t>
  </si>
  <si>
    <t>Duplicatas a Receber</t>
  </si>
  <si>
    <t>Salários a Pagar</t>
  </si>
  <si>
    <t>Estoques</t>
  </si>
  <si>
    <t>Impostos a Pagar</t>
  </si>
  <si>
    <t>Dividendos a Pagar</t>
  </si>
  <si>
    <t>Empréstimos Coligadas</t>
  </si>
  <si>
    <t>Financiamentos</t>
  </si>
  <si>
    <t>Patrimônio Líquido</t>
  </si>
  <si>
    <t>Investimentos</t>
  </si>
  <si>
    <t>Capital</t>
  </si>
  <si>
    <t>Imobilizado</t>
  </si>
  <si>
    <t>TOTAL</t>
  </si>
  <si>
    <t>AH %</t>
  </si>
  <si>
    <t>AV%</t>
  </si>
  <si>
    <t>AH%</t>
  </si>
  <si>
    <t>Liquidez Imediata</t>
  </si>
  <si>
    <t>Liquidez Corrente</t>
  </si>
  <si>
    <t>Liquidez Seca</t>
  </si>
  <si>
    <t>Liquidez Geral</t>
  </si>
  <si>
    <t>Endividamento 3s/Total</t>
  </si>
  <si>
    <t>Endividamento PC/3s</t>
  </si>
  <si>
    <t>Endividam. Proprio/3s</t>
  </si>
  <si>
    <t>Não Circulante</t>
  </si>
  <si>
    <t>Reserva de Lucros</t>
  </si>
  <si>
    <t>Intangível</t>
  </si>
  <si>
    <t>Total do Ativo Circulante</t>
  </si>
  <si>
    <t>Total do Passivo Circulante</t>
  </si>
  <si>
    <t>Total do Passivo</t>
  </si>
  <si>
    <t>Total do PL</t>
  </si>
  <si>
    <t>Situação</t>
  </si>
  <si>
    <t>CONTA</t>
  </si>
  <si>
    <t>Capital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</si>
</sst>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0"/>
      <name val="Arial"/>
    </font>
    <font>
      <sz val="10"/>
      <name val="Arial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3" fontId="3" fillId="0" borderId="1" xfId="0" applyNumberFormat="1" applyFont="1" applyBorder="1"/>
    <xf numFmtId="164" fontId="3" fillId="0" borderId="1" xfId="1" applyFont="1" applyBorder="1"/>
    <xf numFmtId="165" fontId="3" fillId="0" borderId="1" xfId="1" applyNumberFormat="1" applyFont="1" applyBorder="1"/>
    <xf numFmtId="1" fontId="3" fillId="0" borderId="1" xfId="0" applyNumberFormat="1" applyFont="1" applyBorder="1"/>
    <xf numFmtId="0" fontId="2" fillId="0" borderId="1" xfId="0" applyNumberFormat="1" applyFont="1" applyBorder="1" applyAlignment="1">
      <alignment horizontal="center"/>
    </xf>
    <xf numFmtId="165" fontId="3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3" fontId="2" fillId="0" borderId="1" xfId="0" applyNumberFormat="1" applyFont="1" applyBorder="1"/>
    <xf numFmtId="165" fontId="2" fillId="0" borderId="1" xfId="1" applyNumberFormat="1" applyFont="1" applyBorder="1"/>
    <xf numFmtId="165" fontId="2" fillId="2" borderId="1" xfId="1" applyNumberFormat="1" applyFont="1" applyFill="1" applyBorder="1"/>
    <xf numFmtId="1" fontId="2" fillId="0" borderId="1" xfId="0" applyNumberFormat="1" applyFon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40" zoomScaleNormal="140" workbookViewId="0">
      <selection activeCell="H12" sqref="H12"/>
    </sheetView>
  </sheetViews>
  <sheetFormatPr defaultRowHeight="12.75" x14ac:dyDescent="0.2"/>
  <cols>
    <col min="1" max="1" width="20.7109375" style="3" bestFit="1" customWidth="1"/>
    <col min="2" max="2" width="6.7109375" style="3" bestFit="1" customWidth="1"/>
    <col min="3" max="3" width="7.85546875" style="3" bestFit="1" customWidth="1"/>
    <col min="4" max="4" width="21.28515625" style="3" customWidth="1"/>
    <col min="5" max="5" width="6.5703125" style="3" bestFit="1" customWidth="1"/>
    <col min="6" max="6" width="7.85546875" style="3" bestFit="1" customWidth="1"/>
  </cols>
  <sheetData>
    <row r="1" spans="1:3" x14ac:dyDescent="0.2">
      <c r="A1" s="1" t="s">
        <v>35</v>
      </c>
      <c r="B1" s="8">
        <v>2011</v>
      </c>
      <c r="C1" s="8">
        <v>2012</v>
      </c>
    </row>
    <row r="2" spans="1:3" x14ac:dyDescent="0.2">
      <c r="A2" s="2" t="s">
        <v>3</v>
      </c>
      <c r="B2" s="4">
        <v>48000</v>
      </c>
      <c r="C2" s="4">
        <v>15000</v>
      </c>
    </row>
    <row r="3" spans="1:3" x14ac:dyDescent="0.2">
      <c r="A3" s="2" t="s">
        <v>36</v>
      </c>
      <c r="B3" s="4">
        <v>360000</v>
      </c>
      <c r="C3" s="4">
        <v>510000</v>
      </c>
    </row>
    <row r="4" spans="1:3" x14ac:dyDescent="0.2">
      <c r="A4" s="2" t="s">
        <v>9</v>
      </c>
      <c r="B4" s="4">
        <v>60000</v>
      </c>
      <c r="C4" s="4">
        <v>21000</v>
      </c>
    </row>
    <row r="5" spans="1:3" x14ac:dyDescent="0.2">
      <c r="A5" s="2" t="s">
        <v>5</v>
      </c>
      <c r="B5" s="4">
        <v>180000</v>
      </c>
      <c r="C5" s="4">
        <v>330000</v>
      </c>
    </row>
    <row r="6" spans="1:3" x14ac:dyDescent="0.2">
      <c r="A6" s="2" t="s">
        <v>10</v>
      </c>
      <c r="B6" s="4">
        <v>60000</v>
      </c>
      <c r="C6" s="4">
        <v>60000</v>
      </c>
    </row>
    <row r="7" spans="1:3" x14ac:dyDescent="0.2">
      <c r="A7" s="2" t="s">
        <v>7</v>
      </c>
      <c r="B7" s="4">
        <v>468000</v>
      </c>
      <c r="C7" s="4">
        <v>630000</v>
      </c>
    </row>
    <row r="8" spans="1:3" x14ac:dyDescent="0.2">
      <c r="A8" s="2" t="s">
        <v>11</v>
      </c>
      <c r="B8" s="4">
        <v>120000</v>
      </c>
      <c r="C8" s="4">
        <v>225000</v>
      </c>
    </row>
    <row r="9" spans="1:3" x14ac:dyDescent="0.2">
      <c r="A9" s="2" t="s">
        <v>4</v>
      </c>
      <c r="B9" s="4">
        <v>240000</v>
      </c>
      <c r="C9" s="4">
        <v>330000</v>
      </c>
    </row>
    <row r="10" spans="1:3" x14ac:dyDescent="0.2">
      <c r="A10" s="2" t="s">
        <v>15</v>
      </c>
      <c r="B10" s="4">
        <v>108000</v>
      </c>
      <c r="C10" s="4">
        <v>120000</v>
      </c>
    </row>
    <row r="11" spans="1:3" x14ac:dyDescent="0.2">
      <c r="A11" s="2" t="s">
        <v>8</v>
      </c>
      <c r="B11" s="4">
        <v>72000</v>
      </c>
      <c r="C11" s="4">
        <v>9000</v>
      </c>
    </row>
    <row r="12" spans="1:3" x14ac:dyDescent="0.2">
      <c r="A12" s="2" t="s">
        <v>29</v>
      </c>
      <c r="B12" s="4">
        <v>12000</v>
      </c>
      <c r="C12" s="4">
        <v>15000</v>
      </c>
    </row>
    <row r="13" spans="1:3" x14ac:dyDescent="0.2">
      <c r="A13" s="2" t="s">
        <v>13</v>
      </c>
      <c r="B13" s="4">
        <v>72000</v>
      </c>
      <c r="C13" s="4">
        <v>75000</v>
      </c>
    </row>
    <row r="14" spans="1:3" x14ac:dyDescent="0.2">
      <c r="A14" s="2" t="s">
        <v>28</v>
      </c>
      <c r="B14" s="4">
        <v>60000</v>
      </c>
      <c r="C14" s="4">
        <v>90000</v>
      </c>
    </row>
    <row r="15" spans="1:3" x14ac:dyDescent="0.2">
      <c r="A15" s="2" t="s">
        <v>6</v>
      </c>
      <c r="B15" s="4">
        <v>36000</v>
      </c>
      <c r="C15" s="4">
        <v>60000</v>
      </c>
    </row>
  </sheetData>
  <sortState ref="A1:C30">
    <sortCondition ref="A1:A30"/>
  </sortState>
  <pageMargins left="0.78740157499999996" right="0.78740157499999996" top="0.984251969" bottom="0.984251969" header="0.49212598499999999" footer="0.49212598499999999"/>
  <pageSetup paperSize="9" orientation="portrait" horizontalDpi="429496729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opLeftCell="A3" zoomScale="110" zoomScaleNormal="110" workbookViewId="0">
      <selection activeCell="H28" sqref="H28"/>
    </sheetView>
  </sheetViews>
  <sheetFormatPr defaultRowHeight="12.75" x14ac:dyDescent="0.2"/>
  <cols>
    <col min="1" max="1" width="20.7109375" style="3" bestFit="1" customWidth="1"/>
    <col min="2" max="2" width="6.7109375" style="3" bestFit="1" customWidth="1"/>
    <col min="3" max="3" width="5.140625" style="3" bestFit="1" customWidth="1"/>
    <col min="4" max="4" width="7.85546875" style="3" bestFit="1" customWidth="1"/>
    <col min="5" max="6" width="4.7109375" style="3" bestFit="1" customWidth="1"/>
    <col min="7" max="7" width="1.28515625" style="3" customWidth="1"/>
    <col min="8" max="8" width="21.28515625" style="3" customWidth="1"/>
    <col min="9" max="9" width="6.5703125" style="3" bestFit="1" customWidth="1"/>
    <col min="10" max="10" width="4.7109375" style="3" bestFit="1" customWidth="1"/>
    <col min="11" max="11" width="7.85546875" style="3" bestFit="1" customWidth="1"/>
    <col min="12" max="12" width="4.7109375" style="3" bestFit="1" customWidth="1"/>
    <col min="13" max="13" width="5" style="3" bestFit="1" customWidth="1"/>
  </cols>
  <sheetData>
    <row r="1" spans="1:13" x14ac:dyDescent="0.2">
      <c r="A1" s="1" t="s">
        <v>0</v>
      </c>
      <c r="B1" s="8">
        <v>2010</v>
      </c>
      <c r="C1" s="1" t="s">
        <v>18</v>
      </c>
      <c r="D1" s="8">
        <v>2011</v>
      </c>
      <c r="E1" s="1" t="s">
        <v>18</v>
      </c>
      <c r="F1" s="1" t="s">
        <v>19</v>
      </c>
      <c r="G1" s="10"/>
      <c r="H1" s="1" t="s">
        <v>1</v>
      </c>
      <c r="I1" s="8">
        <v>2010</v>
      </c>
      <c r="J1" s="1" t="s">
        <v>18</v>
      </c>
      <c r="K1" s="8">
        <v>2011</v>
      </c>
      <c r="L1" s="1" t="s">
        <v>18</v>
      </c>
      <c r="M1" s="1" t="s">
        <v>17</v>
      </c>
    </row>
    <row r="2" spans="1:13" x14ac:dyDescent="0.2">
      <c r="A2" s="11" t="s">
        <v>2</v>
      </c>
      <c r="B2" s="2"/>
      <c r="C2" s="2"/>
      <c r="D2" s="2"/>
      <c r="E2" s="2"/>
      <c r="F2" s="6"/>
      <c r="G2" s="9"/>
      <c r="H2" s="11" t="s">
        <v>2</v>
      </c>
      <c r="I2" s="2"/>
      <c r="J2" s="2"/>
      <c r="K2" s="2"/>
      <c r="L2" s="2"/>
      <c r="M2" s="2"/>
    </row>
    <row r="3" spans="1:13" x14ac:dyDescent="0.2">
      <c r="A3" s="2" t="s">
        <v>3</v>
      </c>
      <c r="B3" s="4">
        <v>48000</v>
      </c>
      <c r="C3" s="4">
        <f>B3*100/$B$17</f>
        <v>5.0632911392405067</v>
      </c>
      <c r="D3" s="4">
        <v>15000</v>
      </c>
      <c r="E3" s="6">
        <f>D3*100/$D$17</f>
        <v>1.2048192771084338</v>
      </c>
      <c r="F3" s="6">
        <f t="shared" ref="F3:F9" si="0">D3/B3*100</f>
        <v>31.25</v>
      </c>
      <c r="G3" s="9"/>
      <c r="H3" s="2" t="s">
        <v>4</v>
      </c>
      <c r="I3" s="4">
        <v>240000</v>
      </c>
      <c r="J3" s="4">
        <f>I3*100/$I$10</f>
        <v>45.454545454545453</v>
      </c>
      <c r="K3" s="4">
        <v>330000</v>
      </c>
      <c r="L3" s="7">
        <f>K3*100/$K$10</f>
        <v>51.162790697674417</v>
      </c>
      <c r="M3" s="6">
        <f t="shared" ref="M3:M15" si="1">K3/I3*100</f>
        <v>137.5</v>
      </c>
    </row>
    <row r="4" spans="1:13" x14ac:dyDescent="0.2">
      <c r="A4" s="2" t="s">
        <v>5</v>
      </c>
      <c r="B4" s="4">
        <v>180000</v>
      </c>
      <c r="C4" s="4">
        <f t="shared" ref="C4:C9" si="2">B4*100/$B$17</f>
        <v>18.9873417721519</v>
      </c>
      <c r="D4" s="4">
        <v>330000</v>
      </c>
      <c r="E4" s="6">
        <f t="shared" ref="E4:E9" si="3">D4*100/$D$17</f>
        <v>26.506024096385541</v>
      </c>
      <c r="F4" s="6">
        <f t="shared" si="0"/>
        <v>183.33333333333331</v>
      </c>
      <c r="G4" s="9"/>
      <c r="H4" s="2" t="s">
        <v>6</v>
      </c>
      <c r="I4" s="4">
        <v>36000</v>
      </c>
      <c r="J4" s="4">
        <f t="shared" ref="J4:J9" si="4">I4*100/$I$10</f>
        <v>6.8181818181818183</v>
      </c>
      <c r="K4" s="4">
        <v>60000</v>
      </c>
      <c r="L4" s="7">
        <f t="shared" ref="L4:L9" si="5">K4*100/$K$10</f>
        <v>9.3023255813953494</v>
      </c>
      <c r="M4" s="6">
        <f t="shared" si="1"/>
        <v>166.66666666666669</v>
      </c>
    </row>
    <row r="5" spans="1:13" x14ac:dyDescent="0.2">
      <c r="A5" s="2" t="s">
        <v>7</v>
      </c>
      <c r="B5" s="4">
        <v>468000</v>
      </c>
      <c r="C5" s="4">
        <f t="shared" si="2"/>
        <v>49.367088607594937</v>
      </c>
      <c r="D5" s="4">
        <v>630000</v>
      </c>
      <c r="E5" s="6">
        <f t="shared" si="3"/>
        <v>50.602409638554214</v>
      </c>
      <c r="F5" s="6">
        <f t="shared" si="0"/>
        <v>134.61538461538461</v>
      </c>
      <c r="G5" s="9"/>
      <c r="H5" s="2" t="s">
        <v>8</v>
      </c>
      <c r="I5" s="4">
        <v>72000</v>
      </c>
      <c r="J5" s="4">
        <f t="shared" si="4"/>
        <v>13.636363636363637</v>
      </c>
      <c r="K5" s="4">
        <v>9000</v>
      </c>
      <c r="L5" s="7">
        <f t="shared" si="5"/>
        <v>1.3953488372093024</v>
      </c>
      <c r="M5" s="6">
        <f t="shared" si="1"/>
        <v>12.5</v>
      </c>
    </row>
    <row r="6" spans="1:13" x14ac:dyDescent="0.2">
      <c r="A6" s="11" t="s">
        <v>30</v>
      </c>
      <c r="B6" s="12">
        <f>SUM(B3:B5)</f>
        <v>696000</v>
      </c>
      <c r="C6" s="12">
        <f t="shared" si="2"/>
        <v>73.417721518987335</v>
      </c>
      <c r="D6" s="12">
        <f>SUM(D3:D5)</f>
        <v>975000</v>
      </c>
      <c r="E6" s="13">
        <f t="shared" si="3"/>
        <v>78.313253012048193</v>
      </c>
      <c r="F6" s="13">
        <f t="shared" si="0"/>
        <v>140.08620689655174</v>
      </c>
      <c r="G6" s="9"/>
      <c r="H6" s="2" t="s">
        <v>9</v>
      </c>
      <c r="I6" s="4">
        <v>60000</v>
      </c>
      <c r="J6" s="4">
        <f t="shared" si="4"/>
        <v>11.363636363636363</v>
      </c>
      <c r="K6" s="4">
        <v>21000</v>
      </c>
      <c r="L6" s="7">
        <f t="shared" si="5"/>
        <v>3.2558139534883721</v>
      </c>
      <c r="M6" s="6">
        <f t="shared" si="1"/>
        <v>35</v>
      </c>
    </row>
    <row r="7" spans="1:13" x14ac:dyDescent="0.2">
      <c r="A7" s="2"/>
      <c r="B7" s="4"/>
      <c r="C7" s="4"/>
      <c r="D7" s="4"/>
      <c r="E7" s="6"/>
      <c r="F7" s="6"/>
      <c r="G7" s="9"/>
      <c r="H7" s="11" t="s">
        <v>31</v>
      </c>
      <c r="I7" s="12">
        <f>SUM(I3:I6)</f>
        <v>408000</v>
      </c>
      <c r="J7" s="12">
        <f t="shared" si="4"/>
        <v>77.272727272727266</v>
      </c>
      <c r="K7" s="12">
        <f>SUM(K3:K6)</f>
        <v>420000</v>
      </c>
      <c r="L7" s="15">
        <f t="shared" si="5"/>
        <v>65.116279069767444</v>
      </c>
      <c r="M7" s="13">
        <f t="shared" si="1"/>
        <v>102.94117647058823</v>
      </c>
    </row>
    <row r="8" spans="1:13" x14ac:dyDescent="0.2">
      <c r="A8" s="11" t="s">
        <v>27</v>
      </c>
      <c r="B8" s="4"/>
      <c r="C8" s="4"/>
      <c r="D8" s="4"/>
      <c r="E8" s="6"/>
      <c r="F8" s="6"/>
      <c r="G8" s="9"/>
      <c r="H8" s="11" t="s">
        <v>27</v>
      </c>
      <c r="I8" s="4"/>
      <c r="J8" s="4"/>
      <c r="K8" s="4"/>
      <c r="L8" s="7"/>
      <c r="M8" s="6"/>
    </row>
    <row r="9" spans="1:13" x14ac:dyDescent="0.2">
      <c r="A9" s="2" t="s">
        <v>10</v>
      </c>
      <c r="B9" s="4">
        <v>60000</v>
      </c>
      <c r="C9" s="4">
        <f t="shared" si="2"/>
        <v>6.3291139240506329</v>
      </c>
      <c r="D9" s="4">
        <v>60000</v>
      </c>
      <c r="E9" s="6">
        <f t="shared" si="3"/>
        <v>4.8192771084337354</v>
      </c>
      <c r="F9" s="6">
        <f t="shared" si="0"/>
        <v>100</v>
      </c>
      <c r="G9" s="9"/>
      <c r="H9" s="2" t="s">
        <v>11</v>
      </c>
      <c r="I9" s="4">
        <v>120000</v>
      </c>
      <c r="J9" s="4">
        <f t="shared" si="4"/>
        <v>22.727272727272727</v>
      </c>
      <c r="K9" s="4">
        <v>225000</v>
      </c>
      <c r="L9" s="7">
        <f t="shared" si="5"/>
        <v>34.883720930232556</v>
      </c>
      <c r="M9" s="6">
        <f t="shared" si="1"/>
        <v>187.5</v>
      </c>
    </row>
    <row r="10" spans="1:13" x14ac:dyDescent="0.2">
      <c r="A10" s="2" t="s">
        <v>13</v>
      </c>
      <c r="B10" s="4">
        <v>72000</v>
      </c>
      <c r="C10" s="4">
        <f t="shared" ref="C10:C13" si="6">B10*100/$B$17</f>
        <v>7.5949367088607591</v>
      </c>
      <c r="D10" s="4">
        <v>75000</v>
      </c>
      <c r="E10" s="6">
        <f t="shared" ref="E10:E13" si="7">D10*100/$D$17</f>
        <v>6.024096385542169</v>
      </c>
      <c r="F10" s="6">
        <f t="shared" ref="F10:F13" si="8">D10/B10*100</f>
        <v>104.16666666666667</v>
      </c>
      <c r="G10" s="9"/>
      <c r="H10" s="11" t="s">
        <v>32</v>
      </c>
      <c r="I10" s="12">
        <f>I7+I9</f>
        <v>528000</v>
      </c>
      <c r="J10" s="12">
        <v>100</v>
      </c>
      <c r="K10" s="12">
        <f>K7+K9</f>
        <v>645000</v>
      </c>
      <c r="L10" s="11">
        <v>100</v>
      </c>
      <c r="M10" s="6">
        <f t="shared" si="1"/>
        <v>122.15909090909092</v>
      </c>
    </row>
    <row r="11" spans="1:13" x14ac:dyDescent="0.2">
      <c r="A11" s="2" t="s">
        <v>15</v>
      </c>
      <c r="B11" s="4">
        <v>108000</v>
      </c>
      <c r="C11" s="4">
        <f t="shared" si="6"/>
        <v>11.39240506329114</v>
      </c>
      <c r="D11" s="4">
        <v>120000</v>
      </c>
      <c r="E11" s="6">
        <f t="shared" si="7"/>
        <v>9.6385542168674707</v>
      </c>
      <c r="F11" s="6">
        <f t="shared" si="8"/>
        <v>111.11111111111111</v>
      </c>
      <c r="G11" s="9"/>
      <c r="H11" s="2"/>
      <c r="I11" s="4"/>
      <c r="J11" s="4"/>
      <c r="K11" s="4"/>
      <c r="L11" s="2"/>
      <c r="M11" s="6"/>
    </row>
    <row r="12" spans="1:13" x14ac:dyDescent="0.2">
      <c r="A12" s="2" t="s">
        <v>29</v>
      </c>
      <c r="B12" s="4">
        <v>12000</v>
      </c>
      <c r="C12" s="4">
        <f t="shared" si="6"/>
        <v>1.2658227848101267</v>
      </c>
      <c r="D12" s="4">
        <v>15000</v>
      </c>
      <c r="E12" s="6">
        <f t="shared" si="7"/>
        <v>1.2048192771084338</v>
      </c>
      <c r="F12" s="6">
        <f t="shared" si="8"/>
        <v>125</v>
      </c>
      <c r="G12" s="9"/>
      <c r="H12" s="11" t="s">
        <v>12</v>
      </c>
      <c r="I12" s="4"/>
      <c r="J12" s="4"/>
      <c r="K12" s="4"/>
      <c r="L12" s="2"/>
      <c r="M12" s="6"/>
    </row>
    <row r="13" spans="1:13" x14ac:dyDescent="0.2">
      <c r="A13" s="11" t="s">
        <v>31</v>
      </c>
      <c r="B13" s="12">
        <f>SUM(B9:B12)</f>
        <v>252000</v>
      </c>
      <c r="C13" s="12">
        <f t="shared" si="6"/>
        <v>26.582278481012658</v>
      </c>
      <c r="D13" s="12">
        <f>SUM(D9:D12)</f>
        <v>270000</v>
      </c>
      <c r="E13" s="13">
        <f t="shared" si="7"/>
        <v>21.686746987951807</v>
      </c>
      <c r="F13" s="13">
        <f t="shared" si="8"/>
        <v>107.14285714285714</v>
      </c>
      <c r="G13" s="9"/>
      <c r="H13" s="2" t="s">
        <v>14</v>
      </c>
      <c r="I13" s="4">
        <v>360000</v>
      </c>
      <c r="J13" s="4">
        <f>I13*100/$I$15</f>
        <v>85.714285714285708</v>
      </c>
      <c r="K13" s="4">
        <v>510000</v>
      </c>
      <c r="L13" s="6">
        <f>K13*100/K15</f>
        <v>85</v>
      </c>
      <c r="M13" s="6">
        <f t="shared" si="1"/>
        <v>141.66666666666669</v>
      </c>
    </row>
    <row r="14" spans="1:13" x14ac:dyDescent="0.2">
      <c r="A14" s="2"/>
      <c r="B14" s="4"/>
      <c r="C14" s="4"/>
      <c r="D14" s="4"/>
      <c r="E14" s="6"/>
      <c r="F14" s="6"/>
      <c r="G14" s="9"/>
      <c r="H14" s="2" t="s">
        <v>28</v>
      </c>
      <c r="I14" s="4">
        <v>60000</v>
      </c>
      <c r="J14" s="4">
        <f>I14*100/$I$15</f>
        <v>14.285714285714286</v>
      </c>
      <c r="K14" s="4">
        <v>90000</v>
      </c>
      <c r="L14" s="6">
        <f>K14*100/K15</f>
        <v>15</v>
      </c>
      <c r="M14" s="6">
        <f t="shared" si="1"/>
        <v>150</v>
      </c>
    </row>
    <row r="15" spans="1:13" x14ac:dyDescent="0.2">
      <c r="A15" s="2"/>
      <c r="B15" s="4"/>
      <c r="C15" s="4"/>
      <c r="D15" s="4"/>
      <c r="E15" s="6"/>
      <c r="F15" s="6"/>
      <c r="G15" s="9"/>
      <c r="H15" s="11" t="s">
        <v>33</v>
      </c>
      <c r="I15" s="12">
        <f>SUM(I13:I14)</f>
        <v>420000</v>
      </c>
      <c r="J15" s="12">
        <v>100</v>
      </c>
      <c r="K15" s="12">
        <f>SUM(K13:K14)</f>
        <v>600000</v>
      </c>
      <c r="L15" s="11">
        <v>100</v>
      </c>
      <c r="M15" s="13">
        <f t="shared" si="1"/>
        <v>142.85714285714286</v>
      </c>
    </row>
    <row r="16" spans="1:13" x14ac:dyDescent="0.2">
      <c r="A16" s="2"/>
      <c r="B16" s="4"/>
      <c r="C16" s="4"/>
      <c r="D16" s="4"/>
      <c r="E16" s="2"/>
      <c r="F16" s="6"/>
      <c r="G16" s="9"/>
      <c r="H16" s="2"/>
      <c r="I16" s="4"/>
      <c r="J16" s="4"/>
      <c r="K16" s="4"/>
      <c r="L16" s="2"/>
      <c r="M16" s="6"/>
    </row>
    <row r="17" spans="1:13" x14ac:dyDescent="0.2">
      <c r="A17" s="11" t="s">
        <v>16</v>
      </c>
      <c r="B17" s="12">
        <f>B13+B6</f>
        <v>948000</v>
      </c>
      <c r="C17" s="12">
        <v>100</v>
      </c>
      <c r="D17" s="12">
        <f>D6+D13</f>
        <v>1245000</v>
      </c>
      <c r="E17" s="11">
        <v>100</v>
      </c>
      <c r="F17" s="13">
        <f>D17/B17*100</f>
        <v>131.32911392405063</v>
      </c>
      <c r="G17" s="14"/>
      <c r="H17" s="11" t="s">
        <v>16</v>
      </c>
      <c r="I17" s="12">
        <f>I10+I15</f>
        <v>948000</v>
      </c>
      <c r="J17" s="12"/>
      <c r="K17" s="12">
        <v>1245000</v>
      </c>
      <c r="L17" s="11"/>
      <c r="M17" s="13">
        <f>K17/I17*100</f>
        <v>131.32911392405063</v>
      </c>
    </row>
    <row r="19" spans="1:13" x14ac:dyDescent="0.2">
      <c r="B19" s="1">
        <v>2010</v>
      </c>
      <c r="C19" s="1">
        <v>2011</v>
      </c>
      <c r="D19" s="11" t="s">
        <v>34</v>
      </c>
    </row>
    <row r="20" spans="1:13" x14ac:dyDescent="0.2">
      <c r="A20" s="2" t="s">
        <v>20</v>
      </c>
      <c r="B20" s="5">
        <f>B3/I7</f>
        <v>0.11764705882352941</v>
      </c>
      <c r="C20" s="5">
        <f>D3/K7</f>
        <v>3.5714285714285712E-2</v>
      </c>
      <c r="D20" s="2" t="str">
        <f>IF(C20&lt;B20,"Piorou","Melhorou")</f>
        <v>Piorou</v>
      </c>
    </row>
    <row r="21" spans="1:13" x14ac:dyDescent="0.2">
      <c r="A21" s="2" t="s">
        <v>21</v>
      </c>
      <c r="B21" s="5">
        <f>B6/I7</f>
        <v>1.7058823529411764</v>
      </c>
      <c r="C21" s="5">
        <f>D6/K7</f>
        <v>2.3214285714285716</v>
      </c>
      <c r="D21" s="2" t="str">
        <f t="shared" ref="D21:D23" si="9">IF(C21&lt;B21,"Piorou","Melhorou")</f>
        <v>Melhorou</v>
      </c>
    </row>
    <row r="22" spans="1:13" x14ac:dyDescent="0.2">
      <c r="A22" s="2" t="s">
        <v>22</v>
      </c>
      <c r="B22" s="5">
        <f>(B6-B5)/I7</f>
        <v>0.55882352941176472</v>
      </c>
      <c r="C22" s="5">
        <f>(D6-D5)/K7</f>
        <v>0.8214285714285714</v>
      </c>
      <c r="D22" s="2" t="str">
        <f t="shared" si="9"/>
        <v>Melhorou</v>
      </c>
    </row>
    <row r="23" spans="1:13" x14ac:dyDescent="0.2">
      <c r="A23" s="2" t="s">
        <v>23</v>
      </c>
      <c r="B23" s="5">
        <f>(B6+B9)/(I7+I10)</f>
        <v>0.80769230769230771</v>
      </c>
      <c r="C23" s="5">
        <f>(D6+D9)/(K7+K10)</f>
        <v>0.971830985915493</v>
      </c>
      <c r="D23" s="2" t="str">
        <f t="shared" si="9"/>
        <v>Melhorou</v>
      </c>
    </row>
    <row r="24" spans="1:13" x14ac:dyDescent="0.2">
      <c r="A24" s="2" t="s">
        <v>24</v>
      </c>
      <c r="B24" s="5">
        <f>I7/I17</f>
        <v>0.43037974683544306</v>
      </c>
      <c r="C24" s="5">
        <f>K7/K17</f>
        <v>0.33734939759036142</v>
      </c>
      <c r="D24" s="2" t="str">
        <f>IF(C24&gt;B24,"Piorou","Melhorou")</f>
        <v>Melhorou</v>
      </c>
    </row>
    <row r="25" spans="1:13" x14ac:dyDescent="0.2">
      <c r="A25" s="2" t="s">
        <v>25</v>
      </c>
      <c r="B25" s="5">
        <f>I7/I10</f>
        <v>0.77272727272727271</v>
      </c>
      <c r="C25" s="5">
        <f>K7/K10</f>
        <v>0.65116279069767447</v>
      </c>
      <c r="D25" s="2" t="str">
        <f t="shared" ref="D25" si="10">IF(C25&gt;B25,"Piorou","Melhorou")</f>
        <v>Melhorou</v>
      </c>
    </row>
    <row r="26" spans="1:13" x14ac:dyDescent="0.2">
      <c r="A26" s="2" t="s">
        <v>26</v>
      </c>
      <c r="B26" s="5">
        <f>I15/I10</f>
        <v>0.79545454545454541</v>
      </c>
      <c r="C26" s="5">
        <f>K15/K10</f>
        <v>0.93023255813953487</v>
      </c>
      <c r="D26" s="2" t="str">
        <f>IF(C26&lt;B26,"Piorou","Melhorou")</f>
        <v>Melhorou</v>
      </c>
    </row>
  </sheetData>
  <phoneticPr fontId="0" type="noConversion"/>
  <pageMargins left="0.78740157499999996" right="0.78740157499999996" top="0.984251969" bottom="0.984251969" header="0.49212598499999999" footer="0.49212598499999999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BP</vt:lpstr>
    </vt:vector>
  </TitlesOfParts>
  <Company>OEM Preinstall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Streicher Vallim</dc:creator>
  <cp:lastModifiedBy>Max</cp:lastModifiedBy>
  <cp:lastPrinted>2002-11-21T17:28:14Z</cp:lastPrinted>
  <dcterms:created xsi:type="dcterms:W3CDTF">2002-11-21T17:26:59Z</dcterms:created>
  <dcterms:modified xsi:type="dcterms:W3CDTF">2013-08-14T19:54:52Z</dcterms:modified>
</cp:coreProperties>
</file>