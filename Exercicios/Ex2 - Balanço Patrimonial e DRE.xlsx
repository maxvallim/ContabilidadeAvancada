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1760" windowHeight="6075" activeTab="2"/>
  </bookViews>
  <sheets>
    <sheet name="1 - Dados" sheetId="1" r:id="rId1"/>
    <sheet name="1 - Classificação" sheetId="4" r:id="rId2"/>
    <sheet name="2 - Dados" sheetId="5" r:id="rId3"/>
    <sheet name="2 - Classificação" sheetId="7" r:id="rId4"/>
  </sheets>
  <calcPr calcId="145621"/>
</workbook>
</file>

<file path=xl/calcChain.xml><?xml version="1.0" encoding="utf-8"?>
<calcChain xmlns="http://schemas.openxmlformats.org/spreadsheetml/2006/main">
  <c r="E23" i="7" l="1"/>
  <c r="C23" i="7"/>
  <c r="C11" i="7"/>
  <c r="C4" i="7"/>
  <c r="C21" i="4"/>
  <c r="C14" i="4"/>
  <c r="C8" i="4"/>
</calcChain>
</file>

<file path=xl/sharedStrings.xml><?xml version="1.0" encoding="utf-8"?>
<sst xmlns="http://schemas.openxmlformats.org/spreadsheetml/2006/main" count="136" uniqueCount="60">
  <si>
    <t>Duplicatas a Receber</t>
  </si>
  <si>
    <t>Caixa</t>
  </si>
  <si>
    <t>Veículos</t>
  </si>
  <si>
    <t>Capital Social</t>
  </si>
  <si>
    <t>Duplicatas a Pagar</t>
  </si>
  <si>
    <t>Instalações</t>
  </si>
  <si>
    <t>Receita com Vendas</t>
  </si>
  <si>
    <t>Despesas Gerais</t>
  </si>
  <si>
    <t>Custo da Mercadoria Vendida</t>
  </si>
  <si>
    <t>Bancos</t>
  </si>
  <si>
    <t>INSS a Recolher</t>
  </si>
  <si>
    <t>Lucros Retidos</t>
  </si>
  <si>
    <t>ICMS sobre Vendas</t>
  </si>
  <si>
    <t>Receita Não Operacional</t>
  </si>
  <si>
    <t>Mercadorias</t>
  </si>
  <si>
    <t>Duplicatas a Receber a Longo Prazo</t>
  </si>
  <si>
    <t>A1</t>
  </si>
  <si>
    <t>P1</t>
  </si>
  <si>
    <t>A3</t>
  </si>
  <si>
    <t>P3</t>
  </si>
  <si>
    <t>R1</t>
  </si>
  <si>
    <t>R2</t>
  </si>
  <si>
    <t>R3</t>
  </si>
  <si>
    <t>R5</t>
  </si>
  <si>
    <t>R4</t>
  </si>
  <si>
    <t>P2</t>
  </si>
  <si>
    <t>A2</t>
  </si>
  <si>
    <t>Custo das Mercadorias Vendidas</t>
  </si>
  <si>
    <t>Despesas de Juros</t>
  </si>
  <si>
    <t>Despesas com Salários</t>
  </si>
  <si>
    <t>Imóveis</t>
  </si>
  <si>
    <t>Prejuízos Acumulados</t>
  </si>
  <si>
    <t>Devolução de Vendas</t>
  </si>
  <si>
    <t>ICMS a Recolher</t>
  </si>
  <si>
    <t>Salários a Pagar</t>
  </si>
  <si>
    <t>COFINS sobre Vendas</t>
  </si>
  <si>
    <t>Despesas de Descontos</t>
  </si>
  <si>
    <t>PIS sobre Vendas</t>
  </si>
  <si>
    <t>R8</t>
  </si>
  <si>
    <t>P5</t>
  </si>
  <si>
    <t>Receitas de Descontos</t>
  </si>
  <si>
    <t>A</t>
  </si>
  <si>
    <t>P</t>
  </si>
  <si>
    <t>PL</t>
  </si>
  <si>
    <t>R</t>
  </si>
  <si>
    <t>Reserva Lucros</t>
  </si>
  <si>
    <t>Estoque</t>
  </si>
  <si>
    <t>PC</t>
  </si>
  <si>
    <t>AC</t>
  </si>
  <si>
    <t>R - RECEITA BRUTA</t>
  </si>
  <si>
    <t>R - CUSTO</t>
  </si>
  <si>
    <t>R - DEDUÇÕES</t>
  </si>
  <si>
    <t>R - DESPESA FINANCEIRA</t>
  </si>
  <si>
    <t>R - DESPESA ADMINISTRATIVA</t>
  </si>
  <si>
    <t>ANC - IMOBILIZADO</t>
  </si>
  <si>
    <t>Receitas de Descontos Obtidos</t>
  </si>
  <si>
    <t>R - RECEITA FINANCEIRA</t>
  </si>
  <si>
    <t>R - DEDUÇÃO</t>
  </si>
  <si>
    <t>Descontos Incondicionais</t>
  </si>
  <si>
    <t>R -DEDUÇÃO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</si>
</sst>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0" xfId="0" applyBorder="1"/>
    <xf numFmtId="43" fontId="0" fillId="0" borderId="0" xfId="1" applyFont="1"/>
    <xf numFmtId="43" fontId="0" fillId="0" borderId="1" xfId="1" applyFont="1" applyFill="1" applyBorder="1"/>
    <xf numFmtId="43" fontId="0" fillId="0" borderId="0" xfId="0" applyNumberFormat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43" fontId="0" fillId="0" borderId="2" xfId="1" applyFont="1" applyBorder="1"/>
    <xf numFmtId="0" fontId="0" fillId="0" borderId="2" xfId="0" applyBorder="1"/>
    <xf numFmtId="0" fontId="0" fillId="0" borderId="3" xfId="0" applyFill="1" applyBorder="1"/>
    <xf numFmtId="43" fontId="0" fillId="0" borderId="3" xfId="1" applyFont="1" applyBorder="1"/>
    <xf numFmtId="0" fontId="0" fillId="0" borderId="3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="150" zoomScaleNormal="150" workbookViewId="0">
      <selection activeCell="B4" sqref="B4"/>
    </sheetView>
  </sheetViews>
  <sheetFormatPr defaultRowHeight="15" x14ac:dyDescent="0.25"/>
  <cols>
    <col min="1" max="1" width="34.7109375" bestFit="1" customWidth="1"/>
    <col min="2" max="2" width="11.42578125" style="4" customWidth="1"/>
  </cols>
  <sheetData>
    <row r="1" spans="1:3" x14ac:dyDescent="0.25">
      <c r="A1" s="1" t="s">
        <v>1</v>
      </c>
      <c r="B1" s="2">
        <v>1000</v>
      </c>
      <c r="C1" t="s">
        <v>41</v>
      </c>
    </row>
    <row r="2" spans="1:3" x14ac:dyDescent="0.25">
      <c r="A2" s="1" t="s">
        <v>4</v>
      </c>
      <c r="B2" s="2">
        <v>15000</v>
      </c>
      <c r="C2" t="s">
        <v>42</v>
      </c>
    </row>
    <row r="3" spans="1:3" x14ac:dyDescent="0.25">
      <c r="A3" s="1" t="s">
        <v>5</v>
      </c>
      <c r="B3" s="2">
        <v>8000</v>
      </c>
      <c r="C3" t="s">
        <v>41</v>
      </c>
    </row>
    <row r="4" spans="1:3" x14ac:dyDescent="0.25">
      <c r="A4" s="1" t="s">
        <v>3</v>
      </c>
      <c r="B4" s="2">
        <v>20000</v>
      </c>
      <c r="C4" t="s">
        <v>43</v>
      </c>
    </row>
    <row r="5" spans="1:3" x14ac:dyDescent="0.25">
      <c r="A5" s="1" t="s">
        <v>6</v>
      </c>
      <c r="B5" s="2">
        <v>35000</v>
      </c>
      <c r="C5" t="s">
        <v>44</v>
      </c>
    </row>
    <row r="6" spans="1:3" x14ac:dyDescent="0.25">
      <c r="A6" s="1" t="s">
        <v>7</v>
      </c>
      <c r="B6" s="2">
        <v>10000</v>
      </c>
      <c r="C6" t="s">
        <v>44</v>
      </c>
    </row>
    <row r="7" spans="1:3" x14ac:dyDescent="0.25">
      <c r="A7" s="1" t="s">
        <v>8</v>
      </c>
      <c r="B7" s="2">
        <v>11500</v>
      </c>
      <c r="C7" t="s">
        <v>44</v>
      </c>
    </row>
    <row r="8" spans="1:3" x14ac:dyDescent="0.25">
      <c r="A8" s="1" t="s">
        <v>2</v>
      </c>
      <c r="B8" s="2">
        <v>8000</v>
      </c>
      <c r="C8" t="s">
        <v>41</v>
      </c>
    </row>
    <row r="9" spans="1:3" x14ac:dyDescent="0.25">
      <c r="A9" s="1" t="s">
        <v>9</v>
      </c>
      <c r="B9" s="2">
        <v>4000</v>
      </c>
      <c r="C9" t="s">
        <v>41</v>
      </c>
    </row>
    <row r="10" spans="1:3" x14ac:dyDescent="0.25">
      <c r="A10" s="1" t="s">
        <v>0</v>
      </c>
      <c r="B10" s="2">
        <v>12000</v>
      </c>
      <c r="C10" t="s">
        <v>41</v>
      </c>
    </row>
    <row r="11" spans="1:3" x14ac:dyDescent="0.25">
      <c r="A11" s="1" t="s">
        <v>10</v>
      </c>
      <c r="B11" s="2">
        <v>1700</v>
      </c>
      <c r="C11" t="s">
        <v>42</v>
      </c>
    </row>
    <row r="12" spans="1:3" x14ac:dyDescent="0.25">
      <c r="A12" s="7" t="s">
        <v>45</v>
      </c>
      <c r="B12" s="2">
        <v>3000</v>
      </c>
      <c r="C12" t="s">
        <v>43</v>
      </c>
    </row>
    <row r="13" spans="1:3" x14ac:dyDescent="0.25">
      <c r="A13" s="7" t="s">
        <v>12</v>
      </c>
      <c r="B13" s="2">
        <v>7200</v>
      </c>
      <c r="C13" t="s">
        <v>44</v>
      </c>
    </row>
    <row r="14" spans="1:3" x14ac:dyDescent="0.25">
      <c r="A14" s="7" t="s">
        <v>13</v>
      </c>
      <c r="B14" s="2">
        <v>1000</v>
      </c>
      <c r="C14" t="s">
        <v>44</v>
      </c>
    </row>
    <row r="15" spans="1:3" x14ac:dyDescent="0.25">
      <c r="A15" s="7" t="s">
        <v>46</v>
      </c>
      <c r="B15" s="2">
        <v>12500</v>
      </c>
      <c r="C15" t="s">
        <v>41</v>
      </c>
    </row>
    <row r="16" spans="1:3" x14ac:dyDescent="0.25">
      <c r="A16" s="7" t="s">
        <v>15</v>
      </c>
      <c r="B16" s="2">
        <v>1500</v>
      </c>
      <c r="C16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18" sqref="D18"/>
    </sheetView>
  </sheetViews>
  <sheetFormatPr defaultRowHeight="15" x14ac:dyDescent="0.25"/>
  <cols>
    <col min="1" max="1" width="3.28515625" bestFit="1" customWidth="1"/>
    <col min="2" max="2" width="32.42578125" bestFit="1" customWidth="1"/>
    <col min="3" max="3" width="10.5703125" bestFit="1" customWidth="1"/>
    <col min="4" max="5" width="30.5703125" customWidth="1"/>
  </cols>
  <sheetData>
    <row r="1" spans="1:3" x14ac:dyDescent="0.25">
      <c r="A1" s="1" t="s">
        <v>16</v>
      </c>
      <c r="B1" s="1" t="s">
        <v>1</v>
      </c>
      <c r="C1" s="2">
        <v>1000</v>
      </c>
    </row>
    <row r="2" spans="1:3" x14ac:dyDescent="0.25">
      <c r="A2" s="7" t="s">
        <v>16</v>
      </c>
      <c r="B2" s="1" t="s">
        <v>9</v>
      </c>
      <c r="C2" s="2">
        <v>4000</v>
      </c>
    </row>
    <row r="3" spans="1:3" x14ac:dyDescent="0.25">
      <c r="A3" s="7" t="s">
        <v>16</v>
      </c>
      <c r="B3" s="1" t="s">
        <v>0</v>
      </c>
      <c r="C3" s="2">
        <v>12000</v>
      </c>
    </row>
    <row r="4" spans="1:3" x14ac:dyDescent="0.25">
      <c r="A4" s="7" t="s">
        <v>16</v>
      </c>
      <c r="B4" s="7" t="s">
        <v>14</v>
      </c>
      <c r="C4" s="2">
        <v>12500</v>
      </c>
    </row>
    <row r="5" spans="1:3" x14ac:dyDescent="0.25">
      <c r="A5" s="7" t="s">
        <v>26</v>
      </c>
      <c r="B5" s="7" t="s">
        <v>15</v>
      </c>
      <c r="C5" s="2">
        <v>1500</v>
      </c>
    </row>
    <row r="6" spans="1:3" x14ac:dyDescent="0.25">
      <c r="A6" s="1" t="s">
        <v>18</v>
      </c>
      <c r="B6" s="1" t="s">
        <v>5</v>
      </c>
      <c r="C6" s="2">
        <v>8000</v>
      </c>
    </row>
    <row r="7" spans="1:3" x14ac:dyDescent="0.25">
      <c r="A7" s="1" t="s">
        <v>18</v>
      </c>
      <c r="B7" s="1" t="s">
        <v>2</v>
      </c>
      <c r="C7" s="2">
        <v>8000</v>
      </c>
    </row>
    <row r="8" spans="1:3" x14ac:dyDescent="0.25">
      <c r="A8" s="3"/>
      <c r="B8" s="14"/>
      <c r="C8" s="13">
        <f>SUM(C1:C7)</f>
        <v>47000</v>
      </c>
    </row>
    <row r="9" spans="1:3" x14ac:dyDescent="0.25">
      <c r="A9" s="3"/>
      <c r="B9" s="11"/>
      <c r="C9" s="10"/>
    </row>
    <row r="10" spans="1:3" x14ac:dyDescent="0.25">
      <c r="A10" s="1" t="s">
        <v>17</v>
      </c>
      <c r="B10" s="1" t="s">
        <v>4</v>
      </c>
      <c r="C10" s="2">
        <v>15000</v>
      </c>
    </row>
    <row r="11" spans="1:3" x14ac:dyDescent="0.25">
      <c r="A11" s="7" t="s">
        <v>17</v>
      </c>
      <c r="B11" s="1" t="s">
        <v>10</v>
      </c>
      <c r="C11" s="2">
        <v>1700</v>
      </c>
    </row>
    <row r="12" spans="1:3" s="3" customFormat="1" x14ac:dyDescent="0.25">
      <c r="A12" s="1" t="s">
        <v>19</v>
      </c>
      <c r="B12" s="1" t="s">
        <v>3</v>
      </c>
      <c r="C12" s="2">
        <v>20000</v>
      </c>
    </row>
    <row r="13" spans="1:3" x14ac:dyDescent="0.25">
      <c r="A13" s="7" t="s">
        <v>19</v>
      </c>
      <c r="B13" s="7" t="s">
        <v>11</v>
      </c>
      <c r="C13" s="2">
        <v>3000</v>
      </c>
    </row>
    <row r="14" spans="1:3" x14ac:dyDescent="0.25">
      <c r="A14" s="8"/>
      <c r="B14" s="12"/>
      <c r="C14" s="13">
        <f>SUM(C10:C13)</f>
        <v>39700</v>
      </c>
    </row>
    <row r="15" spans="1:3" x14ac:dyDescent="0.25">
      <c r="A15" s="8"/>
      <c r="B15" s="9"/>
      <c r="C15" s="10"/>
    </row>
    <row r="16" spans="1:3" x14ac:dyDescent="0.25">
      <c r="A16" s="1" t="s">
        <v>20</v>
      </c>
      <c r="B16" s="1" t="s">
        <v>6</v>
      </c>
      <c r="C16" s="2">
        <v>35000</v>
      </c>
    </row>
    <row r="17" spans="1:4" x14ac:dyDescent="0.25">
      <c r="A17" s="7" t="s">
        <v>21</v>
      </c>
      <c r="B17" s="7" t="s">
        <v>12</v>
      </c>
      <c r="C17" s="2">
        <v>7200</v>
      </c>
    </row>
    <row r="18" spans="1:4" x14ac:dyDescent="0.25">
      <c r="A18" s="1" t="s">
        <v>22</v>
      </c>
      <c r="B18" s="1" t="s">
        <v>8</v>
      </c>
      <c r="C18" s="2">
        <v>11500</v>
      </c>
    </row>
    <row r="19" spans="1:4" x14ac:dyDescent="0.25">
      <c r="A19" s="1" t="s">
        <v>24</v>
      </c>
      <c r="B19" s="1" t="s">
        <v>7</v>
      </c>
      <c r="C19" s="2">
        <v>10000</v>
      </c>
    </row>
    <row r="20" spans="1:4" x14ac:dyDescent="0.25">
      <c r="A20" s="7" t="s">
        <v>23</v>
      </c>
      <c r="B20" s="7" t="s">
        <v>13</v>
      </c>
      <c r="C20" s="2">
        <v>1000</v>
      </c>
    </row>
    <row r="21" spans="1:4" x14ac:dyDescent="0.25">
      <c r="C21" s="6">
        <f>C16-C17-C18-C19+C20</f>
        <v>7300</v>
      </c>
      <c r="D21" s="6"/>
    </row>
  </sheetData>
  <sortState ref="A1:C20">
    <sortCondition ref="A1:A2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topLeftCell="A3" zoomScale="140" zoomScaleNormal="140" workbookViewId="0">
      <selection activeCell="C18" sqref="C18"/>
    </sheetView>
  </sheetViews>
  <sheetFormatPr defaultRowHeight="15" x14ac:dyDescent="0.25"/>
  <cols>
    <col min="1" max="1" width="47.140625" bestFit="1" customWidth="1"/>
    <col min="2" max="2" width="11.42578125" customWidth="1"/>
  </cols>
  <sheetData>
    <row r="1" spans="1:3" x14ac:dyDescent="0.25">
      <c r="A1" s="2" t="s">
        <v>4</v>
      </c>
      <c r="B1" s="2">
        <v>66175</v>
      </c>
      <c r="C1" t="s">
        <v>47</v>
      </c>
    </row>
    <row r="2" spans="1:3" x14ac:dyDescent="0.25">
      <c r="A2" s="2" t="s">
        <v>14</v>
      </c>
      <c r="B2" s="2">
        <v>60675</v>
      </c>
      <c r="C2" t="s">
        <v>48</v>
      </c>
    </row>
    <row r="3" spans="1:3" x14ac:dyDescent="0.25">
      <c r="A3" s="2" t="s">
        <v>6</v>
      </c>
      <c r="B3" s="2">
        <v>53000</v>
      </c>
      <c r="C3" t="s">
        <v>49</v>
      </c>
    </row>
    <row r="4" spans="1:3" x14ac:dyDescent="0.25">
      <c r="A4" s="2" t="s">
        <v>0</v>
      </c>
      <c r="B4" s="2">
        <v>40000</v>
      </c>
      <c r="C4" t="s">
        <v>48</v>
      </c>
    </row>
    <row r="5" spans="1:3" x14ac:dyDescent="0.25">
      <c r="A5" s="2" t="s">
        <v>3</v>
      </c>
      <c r="B5" s="2">
        <v>30500</v>
      </c>
      <c r="C5" t="s">
        <v>43</v>
      </c>
    </row>
    <row r="6" spans="1:3" x14ac:dyDescent="0.25">
      <c r="A6" s="2" t="s">
        <v>27</v>
      </c>
      <c r="B6" s="2">
        <v>22000</v>
      </c>
      <c r="C6" t="s">
        <v>50</v>
      </c>
    </row>
    <row r="7" spans="1:3" x14ac:dyDescent="0.25">
      <c r="A7" s="2" t="s">
        <v>12</v>
      </c>
      <c r="B7" s="2">
        <v>8500</v>
      </c>
      <c r="C7" t="s">
        <v>51</v>
      </c>
    </row>
    <row r="8" spans="1:3" x14ac:dyDescent="0.25">
      <c r="A8" s="2" t="s">
        <v>28</v>
      </c>
      <c r="B8" s="2">
        <v>6000</v>
      </c>
      <c r="C8" t="s">
        <v>52</v>
      </c>
    </row>
    <row r="9" spans="1:3" x14ac:dyDescent="0.25">
      <c r="A9" s="2" t="s">
        <v>29</v>
      </c>
      <c r="B9" s="2">
        <v>5000</v>
      </c>
      <c r="C9" t="s">
        <v>53</v>
      </c>
    </row>
    <row r="10" spans="1:3" x14ac:dyDescent="0.25">
      <c r="A10" s="2" t="s">
        <v>30</v>
      </c>
      <c r="B10" s="2">
        <v>5000</v>
      </c>
      <c r="C10" t="s">
        <v>54</v>
      </c>
    </row>
    <row r="11" spans="1:3" x14ac:dyDescent="0.25">
      <c r="A11" s="2" t="s">
        <v>31</v>
      </c>
      <c r="B11" s="2">
        <v>5000</v>
      </c>
      <c r="C11" t="s">
        <v>43</v>
      </c>
    </row>
    <row r="12" spans="1:3" x14ac:dyDescent="0.25">
      <c r="A12" s="5" t="s">
        <v>55</v>
      </c>
      <c r="B12" s="5">
        <v>3825</v>
      </c>
      <c r="C12" t="s">
        <v>56</v>
      </c>
    </row>
    <row r="13" spans="1:3" x14ac:dyDescent="0.25">
      <c r="A13" s="5" t="s">
        <v>32</v>
      </c>
      <c r="B13" s="5">
        <v>3000</v>
      </c>
      <c r="C13" t="s">
        <v>51</v>
      </c>
    </row>
    <row r="14" spans="1:3" x14ac:dyDescent="0.25">
      <c r="A14" s="5" t="s">
        <v>33</v>
      </c>
      <c r="B14" s="5">
        <v>2500</v>
      </c>
      <c r="C14" t="s">
        <v>47</v>
      </c>
    </row>
    <row r="15" spans="1:3" x14ac:dyDescent="0.25">
      <c r="A15" s="5" t="s">
        <v>34</v>
      </c>
      <c r="B15" s="5">
        <v>2000</v>
      </c>
      <c r="C15" t="s">
        <v>47</v>
      </c>
    </row>
    <row r="16" spans="1:3" x14ac:dyDescent="0.25">
      <c r="A16" s="5" t="s">
        <v>35</v>
      </c>
      <c r="B16" s="2">
        <v>1500</v>
      </c>
      <c r="C16" t="s">
        <v>57</v>
      </c>
    </row>
    <row r="17" spans="1:3" x14ac:dyDescent="0.25">
      <c r="A17" s="5" t="s">
        <v>58</v>
      </c>
      <c r="B17" s="5">
        <v>1000</v>
      </c>
      <c r="C17" t="s">
        <v>59</v>
      </c>
    </row>
    <row r="18" spans="1:3" x14ac:dyDescent="0.25">
      <c r="A18" s="5" t="s">
        <v>37</v>
      </c>
      <c r="B18" s="5">
        <v>325</v>
      </c>
      <c r="C18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23" sqref="E23"/>
    </sheetView>
  </sheetViews>
  <sheetFormatPr defaultRowHeight="15" x14ac:dyDescent="0.25"/>
  <cols>
    <col min="1" max="1" width="6" customWidth="1"/>
    <col min="2" max="2" width="47.140625" bestFit="1" customWidth="1"/>
    <col min="3" max="3" width="11.42578125" customWidth="1"/>
    <col min="5" max="5" width="11.5703125" bestFit="1" customWidth="1"/>
  </cols>
  <sheetData>
    <row r="1" spans="1:3" x14ac:dyDescent="0.25">
      <c r="A1" s="1" t="s">
        <v>16</v>
      </c>
      <c r="B1" s="2" t="s">
        <v>14</v>
      </c>
      <c r="C1" s="2">
        <v>60675</v>
      </c>
    </row>
    <row r="2" spans="1:3" x14ac:dyDescent="0.25">
      <c r="A2" s="1" t="s">
        <v>16</v>
      </c>
      <c r="B2" s="2" t="s">
        <v>0</v>
      </c>
      <c r="C2" s="2">
        <v>40000</v>
      </c>
    </row>
    <row r="3" spans="1:3" x14ac:dyDescent="0.25">
      <c r="A3" s="1" t="s">
        <v>18</v>
      </c>
      <c r="B3" s="2" t="s">
        <v>30</v>
      </c>
      <c r="C3" s="2">
        <v>5000</v>
      </c>
    </row>
    <row r="4" spans="1:3" x14ac:dyDescent="0.25">
      <c r="A4" s="1"/>
      <c r="B4" s="2"/>
      <c r="C4" s="2">
        <f>SUM(C1:C3)</f>
        <v>105675</v>
      </c>
    </row>
    <row r="5" spans="1:3" x14ac:dyDescent="0.25">
      <c r="A5" s="1"/>
      <c r="B5" s="2"/>
      <c r="C5" s="2"/>
    </row>
    <row r="6" spans="1:3" x14ac:dyDescent="0.25">
      <c r="A6" s="1" t="s">
        <v>17</v>
      </c>
      <c r="B6" s="2" t="s">
        <v>4</v>
      </c>
      <c r="C6" s="2">
        <v>66175</v>
      </c>
    </row>
    <row r="7" spans="1:3" x14ac:dyDescent="0.25">
      <c r="A7" s="1" t="s">
        <v>17</v>
      </c>
      <c r="B7" s="5" t="s">
        <v>33</v>
      </c>
      <c r="C7" s="5">
        <v>2500</v>
      </c>
    </row>
    <row r="8" spans="1:3" x14ac:dyDescent="0.25">
      <c r="A8" s="1" t="s">
        <v>25</v>
      </c>
      <c r="B8" s="5" t="s">
        <v>34</v>
      </c>
      <c r="C8" s="5">
        <v>2000</v>
      </c>
    </row>
    <row r="9" spans="1:3" x14ac:dyDescent="0.25">
      <c r="A9" s="1" t="s">
        <v>19</v>
      </c>
      <c r="B9" s="2" t="s">
        <v>3</v>
      </c>
      <c r="C9" s="2">
        <v>30500</v>
      </c>
    </row>
    <row r="10" spans="1:3" x14ac:dyDescent="0.25">
      <c r="A10" s="1" t="s">
        <v>39</v>
      </c>
      <c r="B10" s="2" t="s">
        <v>31</v>
      </c>
      <c r="C10" s="2">
        <v>-5000</v>
      </c>
    </row>
    <row r="11" spans="1:3" x14ac:dyDescent="0.25">
      <c r="A11" s="1"/>
      <c r="B11" s="2"/>
      <c r="C11" s="2">
        <f>SUM(C6:C10)</f>
        <v>96175</v>
      </c>
    </row>
    <row r="12" spans="1:3" x14ac:dyDescent="0.25">
      <c r="A12" s="1"/>
      <c r="B12" s="2"/>
      <c r="C12" s="2"/>
    </row>
    <row r="13" spans="1:3" x14ac:dyDescent="0.25">
      <c r="A13" s="1" t="s">
        <v>20</v>
      </c>
      <c r="B13" s="2" t="s">
        <v>6</v>
      </c>
      <c r="C13" s="2">
        <v>53000</v>
      </c>
    </row>
    <row r="14" spans="1:3" x14ac:dyDescent="0.25">
      <c r="A14" s="1" t="s">
        <v>21</v>
      </c>
      <c r="B14" s="2" t="s">
        <v>12</v>
      </c>
      <c r="C14" s="2">
        <v>8500</v>
      </c>
    </row>
    <row r="15" spans="1:3" x14ac:dyDescent="0.25">
      <c r="A15" s="1" t="s">
        <v>21</v>
      </c>
      <c r="B15" s="5" t="s">
        <v>32</v>
      </c>
      <c r="C15" s="5">
        <v>3000</v>
      </c>
    </row>
    <row r="16" spans="1:3" x14ac:dyDescent="0.25">
      <c r="A16" s="1" t="s">
        <v>21</v>
      </c>
      <c r="B16" s="5" t="s">
        <v>35</v>
      </c>
      <c r="C16" s="2">
        <v>1500</v>
      </c>
    </row>
    <row r="17" spans="1:5" x14ac:dyDescent="0.25">
      <c r="A17" s="1" t="s">
        <v>21</v>
      </c>
      <c r="B17" s="5" t="s">
        <v>36</v>
      </c>
      <c r="C17" s="5">
        <v>1000</v>
      </c>
    </row>
    <row r="18" spans="1:5" x14ac:dyDescent="0.25">
      <c r="A18" s="1" t="s">
        <v>21</v>
      </c>
      <c r="B18" s="5" t="s">
        <v>37</v>
      </c>
      <c r="C18" s="5">
        <v>325</v>
      </c>
    </row>
    <row r="19" spans="1:5" x14ac:dyDescent="0.25">
      <c r="A19" s="1" t="s">
        <v>22</v>
      </c>
      <c r="B19" s="2" t="s">
        <v>27</v>
      </c>
      <c r="C19" s="2">
        <v>22000</v>
      </c>
    </row>
    <row r="20" spans="1:5" x14ac:dyDescent="0.25">
      <c r="A20" s="1" t="s">
        <v>23</v>
      </c>
      <c r="B20" s="2" t="s">
        <v>29</v>
      </c>
      <c r="C20" s="2">
        <v>5000</v>
      </c>
    </row>
    <row r="21" spans="1:5" x14ac:dyDescent="0.25">
      <c r="A21" s="1" t="s">
        <v>38</v>
      </c>
      <c r="B21" s="2" t="s">
        <v>28</v>
      </c>
      <c r="C21" s="2">
        <v>6000</v>
      </c>
    </row>
    <row r="22" spans="1:5" x14ac:dyDescent="0.25">
      <c r="A22" s="1" t="s">
        <v>38</v>
      </c>
      <c r="B22" s="5" t="s">
        <v>40</v>
      </c>
      <c r="C22" s="5">
        <v>3825</v>
      </c>
    </row>
    <row r="23" spans="1:5" x14ac:dyDescent="0.25">
      <c r="C23" s="6">
        <f>C13-C14-C15-C16-C17-C18-C19-C20-C21+C22</f>
        <v>9500</v>
      </c>
      <c r="E23" s="6">
        <f>C23+C11</f>
        <v>105675</v>
      </c>
    </row>
  </sheetData>
  <sortState ref="A1:C18">
    <sortCondition ref="A1:A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1 - Dados</vt:lpstr>
      <vt:lpstr>1 - Classificação</vt:lpstr>
      <vt:lpstr>2 - Dados</vt:lpstr>
      <vt:lpstr>2 - Classificação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Max</cp:lastModifiedBy>
  <dcterms:created xsi:type="dcterms:W3CDTF">2012-01-31T19:41:32Z</dcterms:created>
  <dcterms:modified xsi:type="dcterms:W3CDTF">2013-08-15T00:00:41Z</dcterms:modified>
</cp:coreProperties>
</file>