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2"/>
  </bookViews>
  <sheets>
    <sheet name="Dados" sheetId="1" r:id="rId1"/>
    <sheet name="DRE" sheetId="4" r:id="rId2"/>
    <sheet name="Modelo" sheetId="5" r:id="rId3"/>
    <sheet name="Plan2" sheetId="2" r:id="rId4"/>
    <sheet name="Plan3" sheetId="3" r:id="rId5"/>
  </sheets>
  <calcPr calcId="145621"/>
</workbook>
</file>

<file path=xl/calcChain.xml><?xml version="1.0" encoding="utf-8"?>
<calcChain xmlns="http://schemas.openxmlformats.org/spreadsheetml/2006/main">
  <c r="G28" i="4" l="1"/>
  <c r="G27" i="4"/>
  <c r="G26" i="4"/>
  <c r="G25" i="4"/>
  <c r="G24" i="4"/>
  <c r="G23" i="4"/>
  <c r="G21" i="4"/>
  <c r="G20" i="4"/>
  <c r="G19" i="4"/>
  <c r="G18" i="4"/>
  <c r="G17" i="4"/>
  <c r="G16" i="4"/>
  <c r="G13" i="4"/>
  <c r="G12" i="4"/>
  <c r="G11" i="4"/>
  <c r="G10" i="4"/>
  <c r="G9" i="4"/>
  <c r="G7" i="4"/>
  <c r="G6" i="4"/>
  <c r="G4" i="4"/>
  <c r="H27" i="4"/>
  <c r="H26" i="4"/>
  <c r="H25" i="4"/>
  <c r="H24" i="4"/>
  <c r="H23" i="4"/>
  <c r="H21" i="4"/>
  <c r="H20" i="4"/>
  <c r="H19" i="4"/>
  <c r="H18" i="4"/>
  <c r="H17" i="4"/>
  <c r="H16" i="4"/>
  <c r="H12" i="4"/>
  <c r="H11" i="4"/>
  <c r="H10" i="4"/>
  <c r="H9" i="4"/>
  <c r="H7" i="4"/>
  <c r="H6" i="4"/>
  <c r="H4" i="4"/>
  <c r="F4" i="4"/>
  <c r="F18" i="4" s="1"/>
  <c r="F23" i="4"/>
  <c r="F19" i="4"/>
  <c r="D28" i="4"/>
  <c r="D27" i="4"/>
  <c r="D26" i="4"/>
  <c r="D25" i="4"/>
  <c r="D24" i="4"/>
  <c r="D23" i="4"/>
  <c r="D21" i="4"/>
  <c r="D20" i="4"/>
  <c r="D19" i="4"/>
  <c r="D18" i="4"/>
  <c r="D17" i="4"/>
  <c r="D16" i="4"/>
  <c r="D13" i="4"/>
  <c r="D12" i="4"/>
  <c r="D11" i="4"/>
  <c r="D10" i="4"/>
  <c r="D9" i="4"/>
  <c r="D7" i="4"/>
  <c r="D6" i="4"/>
  <c r="D4" i="4"/>
  <c r="B10" i="4"/>
  <c r="B9" i="4"/>
  <c r="B13" i="4" s="1"/>
  <c r="B28" i="4" s="1"/>
  <c r="B25" i="4"/>
  <c r="B24" i="4"/>
  <c r="B23" i="4"/>
  <c r="B21" i="4"/>
  <c r="B20" i="4"/>
  <c r="B19" i="4"/>
  <c r="B18" i="4"/>
  <c r="B17" i="4"/>
  <c r="B16" i="4"/>
  <c r="B7" i="4"/>
  <c r="B12" i="4"/>
  <c r="B11" i="4"/>
  <c r="B6" i="4"/>
  <c r="F20" i="4" l="1"/>
  <c r="F12" i="4"/>
  <c r="F21" i="4"/>
  <c r="F16" i="4"/>
  <c r="F24" i="4"/>
  <c r="F17" i="4"/>
  <c r="F25" i="4"/>
  <c r="F6" i="4"/>
  <c r="F7" i="4" l="1"/>
  <c r="F13" i="4"/>
  <c r="H13" i="4" s="1"/>
  <c r="F28" i="4" l="1"/>
  <c r="H28" i="4" s="1"/>
</calcChain>
</file>

<file path=xl/sharedStrings.xml><?xml version="1.0" encoding="utf-8"?>
<sst xmlns="http://schemas.openxmlformats.org/spreadsheetml/2006/main" count="76" uniqueCount="36">
  <si>
    <t>Receita Bruta</t>
  </si>
  <si>
    <t>CTRCs Emitidos</t>
  </si>
  <si>
    <t>Deduções da Receita Bruta</t>
  </si>
  <si>
    <t>Receita Líquida</t>
  </si>
  <si>
    <t>Custo do Serviço Prestado</t>
  </si>
  <si>
    <t>Salários de Motoristas e Ajudantes</t>
  </si>
  <si>
    <t>Seguro do Frete</t>
  </si>
  <si>
    <t>Resultado Bruto</t>
  </si>
  <si>
    <t>Despesas Operacionais</t>
  </si>
  <si>
    <t>Mão de Obra Mecânica</t>
  </si>
  <si>
    <t>Aquisição de Pneus</t>
  </si>
  <si>
    <t>Aquisição de Peças de Mecânica</t>
  </si>
  <si>
    <t>Despesas com Lavagens</t>
  </si>
  <si>
    <t>Mão de Obra Elétrica</t>
  </si>
  <si>
    <t>Serviços de Rodoar</t>
  </si>
  <si>
    <t>Combustível da Frota</t>
  </si>
  <si>
    <t>Pedágios de Transportes</t>
  </si>
  <si>
    <t>Despesas com a Frota</t>
  </si>
  <si>
    <t>Despesas Administrativas</t>
  </si>
  <si>
    <t>Salários - Pessoal Administrativo</t>
  </si>
  <si>
    <t>Energia Elétrica - Escritório</t>
  </si>
  <si>
    <t>Telefone - Escritório</t>
  </si>
  <si>
    <t>Honorários Contábeis</t>
  </si>
  <si>
    <t>Pró Labore - Administradores</t>
  </si>
  <si>
    <t>Resultado Líquido</t>
  </si>
  <si>
    <t>Valor</t>
  </si>
  <si>
    <t>Hor.</t>
  </si>
  <si>
    <t>Vert</t>
  </si>
  <si>
    <t>ICMS s/ Transporte</t>
  </si>
  <si>
    <t>PERÍODO 1</t>
  </si>
  <si>
    <t>PERÍODO 2</t>
  </si>
  <si>
    <t>CONTAS DE RESULTADO</t>
  </si>
  <si>
    <t>1. Estruturar a DRE (Demonstração dos Resultado dos Exercício)</t>
  </si>
  <si>
    <t>2. Calcular os índices para análises horizontal (base 100) e vertical</t>
  </si>
  <si>
    <t>3. Fazer as considerações das análises</t>
  </si>
  <si>
    <t>EMPRESA DE TRANSPORTE DE CARGAS XPTO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</si>
</sst>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_-;\-* #,##0.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43" fontId="0" fillId="0" borderId="0" xfId="1" applyFont="1"/>
    <xf numFmtId="0" fontId="3" fillId="0" borderId="1" xfId="0" applyFont="1" applyBorder="1"/>
    <xf numFmtId="43" fontId="0" fillId="0" borderId="1" xfId="1" applyFont="1" applyBorder="1"/>
    <xf numFmtId="0" fontId="0" fillId="0" borderId="1" xfId="0" applyBorder="1"/>
    <xf numFmtId="43" fontId="3" fillId="0" borderId="1" xfId="1" applyFont="1" applyBorder="1"/>
    <xf numFmtId="164" fontId="0" fillId="0" borderId="0" xfId="1" applyNumberFormat="1" applyFont="1"/>
    <xf numFmtId="164" fontId="0" fillId="0" borderId="1" xfId="1" applyNumberFormat="1" applyFont="1" applyBorder="1"/>
    <xf numFmtId="43" fontId="0" fillId="0" borderId="1" xfId="1" applyNumberFormat="1" applyFont="1" applyBorder="1"/>
    <xf numFmtId="43" fontId="2" fillId="0" borderId="1" xfId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3" fontId="0" fillId="2" borderId="1" xfId="1" applyFont="1" applyFill="1" applyBorder="1"/>
    <xf numFmtId="164" fontId="0" fillId="2" borderId="1" xfId="1" applyNumberFormat="1" applyFont="1" applyFill="1" applyBorder="1"/>
    <xf numFmtId="0" fontId="0" fillId="2" borderId="1" xfId="0" applyFill="1" applyBorder="1"/>
    <xf numFmtId="0" fontId="0" fillId="2" borderId="0" xfId="0" applyFill="1"/>
    <xf numFmtId="43" fontId="0" fillId="2" borderId="1" xfId="1" applyNumberFormat="1" applyFont="1" applyFill="1" applyBorder="1"/>
    <xf numFmtId="43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3" fontId="0" fillId="0" borderId="1" xfId="1" applyFont="1" applyFill="1" applyBorder="1"/>
    <xf numFmtId="164" fontId="0" fillId="0" borderId="1" xfId="1" applyNumberFormat="1" applyFont="1" applyFill="1" applyBorder="1"/>
    <xf numFmtId="0" fontId="0" fillId="0" borderId="1" xfId="0" applyFill="1" applyBorder="1"/>
    <xf numFmtId="43" fontId="0" fillId="0" borderId="1" xfId="1" applyNumberFormat="1" applyFont="1" applyFill="1" applyBorder="1"/>
    <xf numFmtId="43" fontId="3" fillId="0" borderId="1" xfId="1" applyFont="1" applyFill="1" applyBorder="1"/>
    <xf numFmtId="0" fontId="3" fillId="0" borderId="1" xfId="0" applyFont="1" applyFill="1" applyBorder="1"/>
    <xf numFmtId="0" fontId="2" fillId="0" borderId="0" xfId="0" applyFont="1"/>
    <xf numFmtId="0" fontId="3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zoomScale="110" zoomScaleNormal="110" workbookViewId="0"/>
  </sheetViews>
  <sheetFormatPr defaultRowHeight="15" x14ac:dyDescent="0.25"/>
  <cols>
    <col min="1" max="1" width="36.5703125" customWidth="1"/>
    <col min="2" max="3" width="13.42578125" bestFit="1" customWidth="1"/>
  </cols>
  <sheetData>
    <row r="1" spans="1:3" x14ac:dyDescent="0.25">
      <c r="A1" s="26" t="s">
        <v>35</v>
      </c>
    </row>
    <row r="3" spans="1:3" ht="15.75" x14ac:dyDescent="0.25">
      <c r="A3" s="25" t="s">
        <v>31</v>
      </c>
      <c r="B3" s="11" t="s">
        <v>29</v>
      </c>
      <c r="C3" s="12" t="s">
        <v>30</v>
      </c>
    </row>
    <row r="4" spans="1:3" x14ac:dyDescent="0.25">
      <c r="A4" s="4" t="s">
        <v>11</v>
      </c>
      <c r="B4" s="20">
        <v>32500</v>
      </c>
      <c r="C4" s="20">
        <v>29000</v>
      </c>
    </row>
    <row r="5" spans="1:3" x14ac:dyDescent="0.25">
      <c r="A5" s="4" t="s">
        <v>10</v>
      </c>
      <c r="B5" s="20">
        <v>29250</v>
      </c>
      <c r="C5" s="20">
        <v>26100</v>
      </c>
    </row>
    <row r="6" spans="1:3" x14ac:dyDescent="0.25">
      <c r="A6" s="4" t="s">
        <v>15</v>
      </c>
      <c r="B6" s="20">
        <v>260000</v>
      </c>
      <c r="C6" s="20">
        <v>220000</v>
      </c>
    </row>
    <row r="7" spans="1:3" x14ac:dyDescent="0.25">
      <c r="A7" s="4" t="s">
        <v>1</v>
      </c>
      <c r="B7" s="20">
        <v>650000</v>
      </c>
      <c r="C7" s="20">
        <v>580000</v>
      </c>
    </row>
    <row r="8" spans="1:3" x14ac:dyDescent="0.25">
      <c r="A8" s="4" t="s">
        <v>12</v>
      </c>
      <c r="B8" s="20">
        <v>325</v>
      </c>
      <c r="C8" s="20">
        <v>290</v>
      </c>
    </row>
    <row r="9" spans="1:3" x14ac:dyDescent="0.25">
      <c r="A9" s="4" t="s">
        <v>20</v>
      </c>
      <c r="B9" s="20">
        <v>650</v>
      </c>
      <c r="C9" s="20">
        <v>580</v>
      </c>
    </row>
    <row r="10" spans="1:3" x14ac:dyDescent="0.25">
      <c r="A10" s="4" t="s">
        <v>22</v>
      </c>
      <c r="B10" s="20">
        <v>1300</v>
      </c>
      <c r="C10" s="20">
        <v>1300</v>
      </c>
    </row>
    <row r="11" spans="1:3" x14ac:dyDescent="0.25">
      <c r="A11" s="4" t="s">
        <v>28</v>
      </c>
      <c r="B11" s="20">
        <v>78000</v>
      </c>
      <c r="C11" s="20">
        <v>69600</v>
      </c>
    </row>
    <row r="12" spans="1:3" x14ac:dyDescent="0.25">
      <c r="A12" s="4" t="s">
        <v>13</v>
      </c>
      <c r="B12" s="20">
        <v>6500</v>
      </c>
      <c r="C12" s="20">
        <v>5800</v>
      </c>
    </row>
    <row r="13" spans="1:3" x14ac:dyDescent="0.25">
      <c r="A13" s="4" t="s">
        <v>9</v>
      </c>
      <c r="B13" s="20">
        <v>19500</v>
      </c>
      <c r="C13" s="20">
        <v>17400</v>
      </c>
    </row>
    <row r="14" spans="1:3" x14ac:dyDescent="0.25">
      <c r="A14" s="4" t="s">
        <v>16</v>
      </c>
      <c r="B14" s="20">
        <v>97500</v>
      </c>
      <c r="C14" s="20">
        <v>87500</v>
      </c>
    </row>
    <row r="15" spans="1:3" x14ac:dyDescent="0.25">
      <c r="A15" s="4" t="s">
        <v>23</v>
      </c>
      <c r="B15" s="20">
        <v>3000</v>
      </c>
      <c r="C15" s="20">
        <v>3000</v>
      </c>
    </row>
    <row r="16" spans="1:3" x14ac:dyDescent="0.25">
      <c r="A16" s="4" t="s">
        <v>19</v>
      </c>
      <c r="B16" s="20">
        <v>19500</v>
      </c>
      <c r="C16" s="20">
        <v>17400</v>
      </c>
    </row>
    <row r="17" spans="1:3" x14ac:dyDescent="0.25">
      <c r="A17" s="4" t="s">
        <v>5</v>
      </c>
      <c r="B17" s="20">
        <v>65000</v>
      </c>
      <c r="C17" s="20">
        <v>61500</v>
      </c>
    </row>
    <row r="18" spans="1:3" x14ac:dyDescent="0.25">
      <c r="A18" s="4" t="s">
        <v>6</v>
      </c>
      <c r="B18" s="20">
        <v>6500</v>
      </c>
      <c r="C18" s="20">
        <v>5800</v>
      </c>
    </row>
    <row r="19" spans="1:3" x14ac:dyDescent="0.25">
      <c r="A19" s="4" t="s">
        <v>14</v>
      </c>
      <c r="B19" s="20">
        <v>1950</v>
      </c>
      <c r="C19" s="20">
        <v>1740</v>
      </c>
    </row>
    <row r="20" spans="1:3" x14ac:dyDescent="0.25">
      <c r="A20" s="4" t="s">
        <v>21</v>
      </c>
      <c r="B20" s="20">
        <v>6500</v>
      </c>
      <c r="C20" s="20">
        <v>5800</v>
      </c>
    </row>
    <row r="23" spans="1:3" x14ac:dyDescent="0.25">
      <c r="A23" t="s">
        <v>32</v>
      </c>
    </row>
    <row r="24" spans="1:3" x14ac:dyDescent="0.25">
      <c r="A24" t="s">
        <v>33</v>
      </c>
    </row>
    <row r="25" spans="1:3" x14ac:dyDescent="0.25">
      <c r="A25" t="s">
        <v>34</v>
      </c>
    </row>
  </sheetData>
  <sortState ref="A2:C18">
    <sortCondition ref="A2:A18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H28" sqref="A1:H28"/>
    </sheetView>
  </sheetViews>
  <sheetFormatPr defaultRowHeight="15" x14ac:dyDescent="0.25"/>
  <cols>
    <col min="1" max="1" width="36.5703125" customWidth="1"/>
    <col min="2" max="2" width="12.7109375" style="1" bestFit="1" customWidth="1"/>
    <col min="3" max="4" width="8" style="6" bestFit="1" customWidth="1"/>
    <col min="5" max="5" width="1.7109375" customWidth="1"/>
    <col min="6" max="6" width="12.7109375" bestFit="1" customWidth="1"/>
  </cols>
  <sheetData>
    <row r="1" spans="1:8" x14ac:dyDescent="0.25">
      <c r="B1" s="18" t="s">
        <v>29</v>
      </c>
      <c r="C1" s="18"/>
      <c r="D1" s="18"/>
      <c r="E1" s="4"/>
      <c r="F1" s="19" t="s">
        <v>30</v>
      </c>
      <c r="G1" s="19"/>
      <c r="H1" s="19"/>
    </row>
    <row r="2" spans="1:8" x14ac:dyDescent="0.25">
      <c r="A2" s="4"/>
      <c r="B2" s="9" t="s">
        <v>25</v>
      </c>
      <c r="C2" s="10" t="s">
        <v>26</v>
      </c>
      <c r="D2" s="10" t="s">
        <v>27</v>
      </c>
      <c r="E2" s="4"/>
      <c r="F2" s="9" t="s">
        <v>25</v>
      </c>
      <c r="G2" s="10" t="s">
        <v>26</v>
      </c>
      <c r="H2" s="10" t="s">
        <v>27</v>
      </c>
    </row>
    <row r="3" spans="1:8" ht="15.75" x14ac:dyDescent="0.25">
      <c r="A3" s="2" t="s">
        <v>0</v>
      </c>
      <c r="B3" s="20"/>
      <c r="C3" s="21"/>
      <c r="D3" s="21"/>
      <c r="E3" s="22"/>
      <c r="F3" s="20"/>
      <c r="G3" s="21"/>
      <c r="H3" s="21"/>
    </row>
    <row r="4" spans="1:8" x14ac:dyDescent="0.25">
      <c r="A4" s="4" t="s">
        <v>1</v>
      </c>
      <c r="B4" s="20">
        <v>650000</v>
      </c>
      <c r="C4" s="21">
        <v>100</v>
      </c>
      <c r="D4" s="23">
        <f>B4*100/$B$4</f>
        <v>100</v>
      </c>
      <c r="E4" s="22"/>
      <c r="F4" s="20">
        <f>580000</f>
        <v>580000</v>
      </c>
      <c r="G4" s="21">
        <f>F4/B4*C4</f>
        <v>89.230769230769241</v>
      </c>
      <c r="H4" s="23">
        <f>F4*100/$F$4</f>
        <v>100</v>
      </c>
    </row>
    <row r="5" spans="1:8" ht="15.75" x14ac:dyDescent="0.25">
      <c r="A5" s="2" t="s">
        <v>2</v>
      </c>
      <c r="B5" s="20"/>
      <c r="C5" s="21"/>
      <c r="D5" s="23"/>
      <c r="E5" s="22"/>
      <c r="F5" s="20"/>
      <c r="G5" s="21"/>
      <c r="H5" s="23"/>
    </row>
    <row r="6" spans="1:8" x14ac:dyDescent="0.25">
      <c r="A6" s="4" t="s">
        <v>28</v>
      </c>
      <c r="B6" s="20">
        <f>B4*0.12</f>
        <v>78000</v>
      </c>
      <c r="C6" s="21">
        <v>100</v>
      </c>
      <c r="D6" s="23">
        <f>B6*100/$B$4</f>
        <v>12</v>
      </c>
      <c r="E6" s="22"/>
      <c r="F6" s="20">
        <f>F4*0.12</f>
        <v>69600</v>
      </c>
      <c r="G6" s="21">
        <f>F6/B6*C6</f>
        <v>89.230769230769241</v>
      </c>
      <c r="H6" s="23">
        <f>F6*100/$F$4</f>
        <v>12</v>
      </c>
    </row>
    <row r="7" spans="1:8" ht="15.75" x14ac:dyDescent="0.25">
      <c r="A7" s="2" t="s">
        <v>3</v>
      </c>
      <c r="B7" s="24">
        <f>B4-B6</f>
        <v>572000</v>
      </c>
      <c r="C7" s="21">
        <v>100</v>
      </c>
      <c r="D7" s="23">
        <f>B7*100/$B$4</f>
        <v>88</v>
      </c>
      <c r="E7" s="22"/>
      <c r="F7" s="24">
        <f>F4-F6</f>
        <v>510400</v>
      </c>
      <c r="G7" s="21">
        <f>F7/B7*C7</f>
        <v>89.230769230769241</v>
      </c>
      <c r="H7" s="23">
        <f>F7*100/$F$4</f>
        <v>88</v>
      </c>
    </row>
    <row r="8" spans="1:8" ht="15.75" x14ac:dyDescent="0.25">
      <c r="A8" s="2" t="s">
        <v>4</v>
      </c>
      <c r="B8" s="20"/>
      <c r="C8" s="21"/>
      <c r="D8" s="23"/>
      <c r="E8" s="22"/>
      <c r="F8" s="20"/>
      <c r="G8" s="21"/>
      <c r="H8" s="23"/>
    </row>
    <row r="9" spans="1:8" x14ac:dyDescent="0.25">
      <c r="A9" s="4" t="s">
        <v>15</v>
      </c>
      <c r="B9" s="20">
        <f>B4*0.4</f>
        <v>260000</v>
      </c>
      <c r="C9" s="21">
        <v>100</v>
      </c>
      <c r="D9" s="23">
        <f>B9*100/$B$4</f>
        <v>40</v>
      </c>
      <c r="E9" s="22"/>
      <c r="F9" s="20">
        <v>220000</v>
      </c>
      <c r="G9" s="21">
        <f>F9/B9*C9</f>
        <v>84.615384615384613</v>
      </c>
      <c r="H9" s="23">
        <f>F9*100/$F$4</f>
        <v>37.931034482758619</v>
      </c>
    </row>
    <row r="10" spans="1:8" x14ac:dyDescent="0.25">
      <c r="A10" s="4" t="s">
        <v>16</v>
      </c>
      <c r="B10" s="20">
        <f>B4*0.15</f>
        <v>97500</v>
      </c>
      <c r="C10" s="21">
        <v>100</v>
      </c>
      <c r="D10" s="23">
        <f>B10*100/$B$4</f>
        <v>15</v>
      </c>
      <c r="E10" s="22"/>
      <c r="F10" s="20">
        <v>87500</v>
      </c>
      <c r="G10" s="21">
        <f>F10/B10*C10</f>
        <v>89.743589743589752</v>
      </c>
      <c r="H10" s="23">
        <f>F10*100/$F$4</f>
        <v>15.086206896551724</v>
      </c>
    </row>
    <row r="11" spans="1:8" x14ac:dyDescent="0.25">
      <c r="A11" s="4" t="s">
        <v>5</v>
      </c>
      <c r="B11" s="20">
        <f>B4*0.1</f>
        <v>65000</v>
      </c>
      <c r="C11" s="21">
        <v>100</v>
      </c>
      <c r="D11" s="23">
        <f>B11*100/$B$4</f>
        <v>10</v>
      </c>
      <c r="E11" s="22"/>
      <c r="F11" s="20">
        <v>61500</v>
      </c>
      <c r="G11" s="21">
        <f>F11/B11*C11</f>
        <v>94.615384615384613</v>
      </c>
      <c r="H11" s="23">
        <f>F11*100/$F$4</f>
        <v>10.603448275862069</v>
      </c>
    </row>
    <row r="12" spans="1:8" x14ac:dyDescent="0.25">
      <c r="A12" s="4" t="s">
        <v>6</v>
      </c>
      <c r="B12" s="20">
        <f>B4*0.01</f>
        <v>6500</v>
      </c>
      <c r="C12" s="21">
        <v>100</v>
      </c>
      <c r="D12" s="23">
        <f>B12*100/$B$4</f>
        <v>1</v>
      </c>
      <c r="E12" s="22"/>
      <c r="F12" s="20">
        <f>F4*0.01</f>
        <v>5800</v>
      </c>
      <c r="G12" s="21">
        <f>F12/B12*C12</f>
        <v>89.230769230769241</v>
      </c>
      <c r="H12" s="23">
        <f>F12*100/$F$4</f>
        <v>1</v>
      </c>
    </row>
    <row r="13" spans="1:8" ht="15.75" x14ac:dyDescent="0.25">
      <c r="A13" s="2" t="s">
        <v>7</v>
      </c>
      <c r="B13" s="24">
        <f>B7-B9-B10-B11-B12</f>
        <v>143000</v>
      </c>
      <c r="C13" s="21">
        <v>100</v>
      </c>
      <c r="D13" s="23">
        <f>B13*100/$B$4</f>
        <v>22</v>
      </c>
      <c r="E13" s="22"/>
      <c r="F13" s="24">
        <f>F7-F9-F10-F11-F12</f>
        <v>135600</v>
      </c>
      <c r="G13" s="21">
        <f>F13/B13*C13</f>
        <v>94.825174825174827</v>
      </c>
      <c r="H13" s="23">
        <f>F13*100/$F$4</f>
        <v>23.379310344827587</v>
      </c>
    </row>
    <row r="14" spans="1:8" ht="15.75" x14ac:dyDescent="0.25">
      <c r="A14" s="2" t="s">
        <v>8</v>
      </c>
      <c r="B14" s="20"/>
      <c r="C14" s="21"/>
      <c r="D14" s="23"/>
      <c r="E14" s="22"/>
      <c r="F14" s="20"/>
      <c r="G14" s="21"/>
      <c r="H14" s="23"/>
    </row>
    <row r="15" spans="1:8" ht="15.75" x14ac:dyDescent="0.25">
      <c r="A15" s="2" t="s">
        <v>17</v>
      </c>
      <c r="B15" s="20"/>
      <c r="C15" s="21"/>
      <c r="D15" s="23"/>
      <c r="E15" s="22"/>
      <c r="F15" s="20"/>
      <c r="G15" s="21"/>
      <c r="H15" s="23"/>
    </row>
    <row r="16" spans="1:8" x14ac:dyDescent="0.25">
      <c r="A16" s="4" t="s">
        <v>11</v>
      </c>
      <c r="B16" s="20">
        <f>B4*0.05</f>
        <v>32500</v>
      </c>
      <c r="C16" s="21">
        <v>100</v>
      </c>
      <c r="D16" s="23">
        <f>B16*100/$B$4</f>
        <v>5</v>
      </c>
      <c r="E16" s="22"/>
      <c r="F16" s="20">
        <f>F4*0.05</f>
        <v>29000</v>
      </c>
      <c r="G16" s="21">
        <f>F16/B16*C16</f>
        <v>89.230769230769241</v>
      </c>
      <c r="H16" s="23">
        <f>F16*100/$F$4</f>
        <v>5</v>
      </c>
    </row>
    <row r="17" spans="1:8" x14ac:dyDescent="0.25">
      <c r="A17" s="4" t="s">
        <v>9</v>
      </c>
      <c r="B17" s="20">
        <f>B4*0.03</f>
        <v>19500</v>
      </c>
      <c r="C17" s="21">
        <v>100</v>
      </c>
      <c r="D17" s="23">
        <f>B17*100/$B$4</f>
        <v>3</v>
      </c>
      <c r="E17" s="22"/>
      <c r="F17" s="20">
        <f>F4*0.03</f>
        <v>17400</v>
      </c>
      <c r="G17" s="21">
        <f>F17/B17*C17</f>
        <v>89.230769230769241</v>
      </c>
      <c r="H17" s="23">
        <f>F17*100/$F$4</f>
        <v>3</v>
      </c>
    </row>
    <row r="18" spans="1:8" x14ac:dyDescent="0.25">
      <c r="A18" s="4" t="s">
        <v>10</v>
      </c>
      <c r="B18" s="20">
        <f>B4*0.045</f>
        <v>29250</v>
      </c>
      <c r="C18" s="21">
        <v>100</v>
      </c>
      <c r="D18" s="23">
        <f>B18*100/$B$4</f>
        <v>4.5</v>
      </c>
      <c r="E18" s="22"/>
      <c r="F18" s="20">
        <f>F4*0.045</f>
        <v>26100</v>
      </c>
      <c r="G18" s="21">
        <f>F18/B18*C18</f>
        <v>89.230769230769241</v>
      </c>
      <c r="H18" s="23">
        <f>F18*100/$F$4</f>
        <v>4.5</v>
      </c>
    </row>
    <row r="19" spans="1:8" x14ac:dyDescent="0.25">
      <c r="A19" s="4" t="s">
        <v>12</v>
      </c>
      <c r="B19" s="20">
        <f>B4*0.05/100</f>
        <v>325</v>
      </c>
      <c r="C19" s="21">
        <v>100</v>
      </c>
      <c r="D19" s="23">
        <f>B19*100/$B$4</f>
        <v>0.05</v>
      </c>
      <c r="E19" s="22"/>
      <c r="F19" s="20">
        <f>F4*0.05/100</f>
        <v>290</v>
      </c>
      <c r="G19" s="21">
        <f>F19/B19*C19</f>
        <v>89.230769230769241</v>
      </c>
      <c r="H19" s="23">
        <f>F19*100/$F$4</f>
        <v>0.05</v>
      </c>
    </row>
    <row r="20" spans="1:8" x14ac:dyDescent="0.25">
      <c r="A20" s="4" t="s">
        <v>13</v>
      </c>
      <c r="B20" s="20">
        <f>B4*0.01</f>
        <v>6500</v>
      </c>
      <c r="C20" s="21">
        <v>100</v>
      </c>
      <c r="D20" s="23">
        <f>B20*100/$B$4</f>
        <v>1</v>
      </c>
      <c r="E20" s="22"/>
      <c r="F20" s="20">
        <f>F4*0.01</f>
        <v>5800</v>
      </c>
      <c r="G20" s="21">
        <f>F20/B20*C20</f>
        <v>89.230769230769241</v>
      </c>
      <c r="H20" s="23">
        <f>F20*100/$F$4</f>
        <v>1</v>
      </c>
    </row>
    <row r="21" spans="1:8" x14ac:dyDescent="0.25">
      <c r="A21" s="4" t="s">
        <v>14</v>
      </c>
      <c r="B21" s="20">
        <f>B4*0.3/100</f>
        <v>1950</v>
      </c>
      <c r="C21" s="21">
        <v>100</v>
      </c>
      <c r="D21" s="23">
        <f>B21*100/$B$4</f>
        <v>0.3</v>
      </c>
      <c r="E21" s="22"/>
      <c r="F21" s="20">
        <f>F4*0.3/100</f>
        <v>1740</v>
      </c>
      <c r="G21" s="21">
        <f>F21/B21*C21</f>
        <v>89.230769230769241</v>
      </c>
      <c r="H21" s="23">
        <f>F21*100/$F$4</f>
        <v>0.3</v>
      </c>
    </row>
    <row r="22" spans="1:8" ht="15.75" x14ac:dyDescent="0.25">
      <c r="A22" s="2" t="s">
        <v>18</v>
      </c>
      <c r="B22" s="20"/>
      <c r="C22" s="21"/>
      <c r="D22" s="23"/>
      <c r="E22" s="22"/>
      <c r="F22" s="20"/>
      <c r="G22" s="21"/>
      <c r="H22" s="23"/>
    </row>
    <row r="23" spans="1:8" x14ac:dyDescent="0.25">
      <c r="A23" s="4" t="s">
        <v>19</v>
      </c>
      <c r="B23" s="20">
        <f>B4*0.03</f>
        <v>19500</v>
      </c>
      <c r="C23" s="21">
        <v>100</v>
      </c>
      <c r="D23" s="23">
        <f>B23*100/$B$4</f>
        <v>3</v>
      </c>
      <c r="E23" s="22"/>
      <c r="F23" s="20">
        <f>F4*0.03</f>
        <v>17400</v>
      </c>
      <c r="G23" s="21">
        <f>F23/B23*C23</f>
        <v>89.230769230769241</v>
      </c>
      <c r="H23" s="23">
        <f>F23*100/$F$4</f>
        <v>3</v>
      </c>
    </row>
    <row r="24" spans="1:8" x14ac:dyDescent="0.25">
      <c r="A24" s="4" t="s">
        <v>20</v>
      </c>
      <c r="B24" s="20">
        <f>B4*0.1/100</f>
        <v>650</v>
      </c>
      <c r="C24" s="21">
        <v>100</v>
      </c>
      <c r="D24" s="23">
        <f>B24*100/$B$4</f>
        <v>0.1</v>
      </c>
      <c r="E24" s="22"/>
      <c r="F24" s="20">
        <f>F4*0.1/100</f>
        <v>580</v>
      </c>
      <c r="G24" s="21">
        <f>F24/B24*C24</f>
        <v>89.230769230769241</v>
      </c>
      <c r="H24" s="23">
        <f>F24*100/$F$4</f>
        <v>0.1</v>
      </c>
    </row>
    <row r="25" spans="1:8" x14ac:dyDescent="0.25">
      <c r="A25" s="4" t="s">
        <v>21</v>
      </c>
      <c r="B25" s="20">
        <f>B4*0.01</f>
        <v>6500</v>
      </c>
      <c r="C25" s="21">
        <v>100</v>
      </c>
      <c r="D25" s="23">
        <f>B25*100/$B$4</f>
        <v>1</v>
      </c>
      <c r="E25" s="22"/>
      <c r="F25" s="20">
        <f>F4*0.01</f>
        <v>5800</v>
      </c>
      <c r="G25" s="21">
        <f>F25/B25*C25</f>
        <v>89.230769230769241</v>
      </c>
      <c r="H25" s="23">
        <f>F25*100/$F$4</f>
        <v>1</v>
      </c>
    </row>
    <row r="26" spans="1:8" x14ac:dyDescent="0.25">
      <c r="A26" s="4" t="s">
        <v>22</v>
      </c>
      <c r="B26" s="20">
        <v>1300</v>
      </c>
      <c r="C26" s="21">
        <v>100</v>
      </c>
      <c r="D26" s="23">
        <f>B26*100/$B$4</f>
        <v>0.2</v>
      </c>
      <c r="E26" s="22"/>
      <c r="F26" s="20">
        <v>1300</v>
      </c>
      <c r="G26" s="21">
        <f>F26/B26*C26</f>
        <v>100</v>
      </c>
      <c r="H26" s="23">
        <f>F26*100/$F$4</f>
        <v>0.22413793103448276</v>
      </c>
    </row>
    <row r="27" spans="1:8" x14ac:dyDescent="0.25">
      <c r="A27" s="4" t="s">
        <v>23</v>
      </c>
      <c r="B27" s="20">
        <v>3000</v>
      </c>
      <c r="C27" s="21">
        <v>100</v>
      </c>
      <c r="D27" s="23">
        <f>B27*100/$B$4</f>
        <v>0.46153846153846156</v>
      </c>
      <c r="E27" s="22"/>
      <c r="F27" s="20">
        <v>3000</v>
      </c>
      <c r="G27" s="21">
        <f>F27/B27*C27</f>
        <v>100</v>
      </c>
      <c r="H27" s="23">
        <f>F27*100/$F$4</f>
        <v>0.51724137931034486</v>
      </c>
    </row>
    <row r="28" spans="1:8" ht="15.75" x14ac:dyDescent="0.25">
      <c r="A28" s="2" t="s">
        <v>24</v>
      </c>
      <c r="B28" s="24">
        <f>B13-B16-B17-B18-B19-B20-B21-B23-B24-B25-B26-B27</f>
        <v>22025</v>
      </c>
      <c r="C28" s="21">
        <v>100</v>
      </c>
      <c r="D28" s="23">
        <f>B28*100/$B$4</f>
        <v>3.3884615384615384</v>
      </c>
      <c r="E28" s="22"/>
      <c r="F28" s="24">
        <f>F13-F16-F17-F18-F19-F20-F21-F23-F24-F25-F26-F27</f>
        <v>27190</v>
      </c>
      <c r="G28" s="21">
        <f>F28/B28*C28</f>
        <v>123.45062429057889</v>
      </c>
      <c r="H28" s="23">
        <f>F28*100/$F$4</f>
        <v>4.6879310344827587</v>
      </c>
    </row>
  </sheetData>
  <mergeCells count="2">
    <mergeCell ref="B1:D1"/>
    <mergeCell ref="F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/>
  </sheetViews>
  <sheetFormatPr defaultRowHeight="15" x14ac:dyDescent="0.25"/>
  <cols>
    <col min="1" max="1" width="44.85546875" customWidth="1"/>
    <col min="2" max="2" width="12.7109375" style="1" bestFit="1" customWidth="1"/>
    <col min="3" max="4" width="8" style="6" bestFit="1" customWidth="1"/>
    <col min="5" max="5" width="4.28515625" customWidth="1"/>
    <col min="6" max="6" width="12.7109375" bestFit="1" customWidth="1"/>
  </cols>
  <sheetData>
    <row r="1" spans="1:8" ht="15.75" x14ac:dyDescent="0.25">
      <c r="A1" s="27" t="s">
        <v>35</v>
      </c>
    </row>
    <row r="3" spans="1:8" x14ac:dyDescent="0.25">
      <c r="B3" s="18" t="s">
        <v>29</v>
      </c>
      <c r="C3" s="18"/>
      <c r="D3" s="18"/>
      <c r="E3" s="4"/>
      <c r="F3" s="19" t="s">
        <v>30</v>
      </c>
      <c r="G3" s="19"/>
      <c r="H3" s="19"/>
    </row>
    <row r="4" spans="1:8" x14ac:dyDescent="0.25">
      <c r="A4" s="4"/>
      <c r="B4" s="9" t="s">
        <v>25</v>
      </c>
      <c r="C4" s="10" t="s">
        <v>26</v>
      </c>
      <c r="D4" s="10" t="s">
        <v>27</v>
      </c>
      <c r="E4" s="4"/>
      <c r="F4" s="9" t="s">
        <v>25</v>
      </c>
      <c r="G4" s="10" t="s">
        <v>26</v>
      </c>
      <c r="H4" s="10" t="s">
        <v>27</v>
      </c>
    </row>
    <row r="5" spans="1:8" ht="15.75" x14ac:dyDescent="0.25">
      <c r="A5" s="2" t="s">
        <v>0</v>
      </c>
      <c r="B5" s="13"/>
      <c r="C5" s="14"/>
      <c r="D5" s="14"/>
      <c r="E5" s="15"/>
      <c r="F5" s="13"/>
      <c r="G5" s="14"/>
      <c r="H5" s="14"/>
    </row>
    <row r="6" spans="1:8" x14ac:dyDescent="0.25">
      <c r="A6" s="4"/>
      <c r="B6" s="3"/>
      <c r="C6" s="7"/>
      <c r="D6" s="8"/>
      <c r="E6" s="4"/>
      <c r="F6" s="3"/>
      <c r="G6" s="7"/>
      <c r="H6" s="8"/>
    </row>
    <row r="7" spans="1:8" ht="15.75" x14ac:dyDescent="0.25">
      <c r="A7" s="2" t="s">
        <v>2</v>
      </c>
      <c r="B7" s="13"/>
      <c r="C7" s="14"/>
      <c r="D7" s="17"/>
      <c r="E7" s="15"/>
      <c r="F7" s="13"/>
      <c r="G7" s="14"/>
      <c r="H7" s="17"/>
    </row>
    <row r="8" spans="1:8" x14ac:dyDescent="0.25">
      <c r="A8" s="4"/>
      <c r="B8" s="3"/>
      <c r="C8" s="7"/>
      <c r="D8" s="8"/>
      <c r="E8" s="4"/>
      <c r="F8" s="3"/>
      <c r="G8" s="7"/>
      <c r="H8" s="8"/>
    </row>
    <row r="9" spans="1:8" ht="15.75" x14ac:dyDescent="0.25">
      <c r="A9" s="2" t="s">
        <v>3</v>
      </c>
      <c r="B9" s="5"/>
      <c r="C9" s="7"/>
      <c r="D9" s="8"/>
      <c r="E9" s="4"/>
      <c r="F9" s="5"/>
      <c r="G9" s="7"/>
      <c r="H9" s="8"/>
    </row>
    <row r="10" spans="1:8" ht="15.75" x14ac:dyDescent="0.25">
      <c r="A10" s="2" t="s">
        <v>4</v>
      </c>
      <c r="B10" s="13"/>
      <c r="C10" s="14"/>
      <c r="D10" s="17"/>
      <c r="E10" s="15"/>
      <c r="F10" s="13"/>
      <c r="G10" s="14"/>
      <c r="H10" s="17"/>
    </row>
    <row r="11" spans="1:8" x14ac:dyDescent="0.25">
      <c r="A11" s="4"/>
      <c r="B11" s="3"/>
      <c r="C11" s="7"/>
      <c r="D11" s="8"/>
      <c r="E11" s="4"/>
      <c r="F11" s="3"/>
      <c r="G11" s="7"/>
      <c r="H11" s="8"/>
    </row>
    <row r="12" spans="1:8" x14ac:dyDescent="0.25">
      <c r="A12" s="4"/>
      <c r="B12" s="3"/>
      <c r="C12" s="7"/>
      <c r="D12" s="8"/>
      <c r="E12" s="4"/>
      <c r="F12" s="3"/>
      <c r="G12" s="7"/>
      <c r="H12" s="8"/>
    </row>
    <row r="13" spans="1:8" x14ac:dyDescent="0.25">
      <c r="A13" s="4"/>
      <c r="B13" s="3"/>
      <c r="C13" s="7"/>
      <c r="D13" s="8"/>
      <c r="E13" s="4"/>
      <c r="F13" s="3"/>
      <c r="G13" s="7"/>
      <c r="H13" s="8"/>
    </row>
    <row r="14" spans="1:8" x14ac:dyDescent="0.25">
      <c r="A14" s="4"/>
      <c r="B14" s="3"/>
      <c r="C14" s="7"/>
      <c r="D14" s="8"/>
      <c r="E14" s="4"/>
      <c r="F14" s="3"/>
      <c r="G14" s="7"/>
      <c r="H14" s="8"/>
    </row>
    <row r="15" spans="1:8" ht="15.75" x14ac:dyDescent="0.25">
      <c r="A15" s="2" t="s">
        <v>7</v>
      </c>
      <c r="B15" s="5"/>
      <c r="C15" s="7"/>
      <c r="D15" s="8"/>
      <c r="E15" s="4"/>
      <c r="F15" s="5"/>
      <c r="G15" s="7"/>
      <c r="H15" s="8"/>
    </row>
    <row r="16" spans="1:8" ht="15.75" x14ac:dyDescent="0.25">
      <c r="A16" s="2" t="s">
        <v>8</v>
      </c>
      <c r="B16" s="13"/>
      <c r="C16" s="14"/>
      <c r="D16" s="17"/>
      <c r="E16" s="15"/>
      <c r="F16" s="13"/>
      <c r="G16" s="14"/>
      <c r="H16" s="17"/>
    </row>
    <row r="17" spans="1:8" ht="15.75" x14ac:dyDescent="0.25">
      <c r="A17" s="2" t="s">
        <v>17</v>
      </c>
      <c r="B17" s="13"/>
      <c r="C17" s="14"/>
      <c r="D17" s="17"/>
      <c r="E17" s="15"/>
      <c r="F17" s="13"/>
      <c r="G17" s="14"/>
      <c r="H17" s="17"/>
    </row>
    <row r="18" spans="1:8" x14ac:dyDescent="0.25">
      <c r="A18" s="4"/>
      <c r="B18" s="3"/>
      <c r="C18" s="7"/>
      <c r="D18" s="8"/>
      <c r="E18" s="4"/>
      <c r="F18" s="3"/>
      <c r="G18" s="7"/>
      <c r="H18" s="8"/>
    </row>
    <row r="19" spans="1:8" x14ac:dyDescent="0.25">
      <c r="A19" s="4"/>
      <c r="B19" s="3"/>
      <c r="C19" s="7"/>
      <c r="D19" s="8"/>
      <c r="E19" s="4"/>
      <c r="F19" s="3"/>
      <c r="G19" s="7"/>
      <c r="H19" s="8"/>
    </row>
    <row r="20" spans="1:8" x14ac:dyDescent="0.25">
      <c r="A20" s="4"/>
      <c r="B20" s="3"/>
      <c r="C20" s="7"/>
      <c r="D20" s="8"/>
      <c r="E20" s="4"/>
      <c r="F20" s="3"/>
      <c r="G20" s="7"/>
      <c r="H20" s="8"/>
    </row>
    <row r="21" spans="1:8" x14ac:dyDescent="0.25">
      <c r="A21" s="4"/>
      <c r="B21" s="3"/>
      <c r="C21" s="7"/>
      <c r="D21" s="8"/>
      <c r="E21" s="4"/>
      <c r="F21" s="3"/>
      <c r="G21" s="7"/>
      <c r="H21" s="8"/>
    </row>
    <row r="22" spans="1:8" x14ac:dyDescent="0.25">
      <c r="A22" s="4"/>
      <c r="B22" s="3"/>
      <c r="C22" s="7"/>
      <c r="D22" s="8"/>
      <c r="E22" s="4"/>
      <c r="F22" s="3"/>
      <c r="G22" s="7"/>
      <c r="H22" s="8"/>
    </row>
    <row r="23" spans="1:8" x14ac:dyDescent="0.25">
      <c r="A23" s="4"/>
      <c r="B23" s="3"/>
      <c r="C23" s="7"/>
      <c r="D23" s="8"/>
      <c r="E23" s="4"/>
      <c r="F23" s="3"/>
      <c r="G23" s="7"/>
      <c r="H23" s="8"/>
    </row>
    <row r="24" spans="1:8" ht="15.75" x14ac:dyDescent="0.25">
      <c r="A24" s="2" t="s">
        <v>18</v>
      </c>
      <c r="B24" s="13"/>
      <c r="C24" s="14"/>
      <c r="D24" s="17"/>
      <c r="E24" s="15"/>
      <c r="F24" s="13"/>
      <c r="G24" s="14"/>
      <c r="H24" s="17"/>
    </row>
    <row r="25" spans="1:8" x14ac:dyDescent="0.25">
      <c r="A25" s="4"/>
      <c r="B25" s="3"/>
      <c r="C25" s="7"/>
      <c r="D25" s="8"/>
      <c r="E25" s="4"/>
      <c r="F25" s="3"/>
      <c r="G25" s="7"/>
      <c r="H25" s="8"/>
    </row>
    <row r="26" spans="1:8" x14ac:dyDescent="0.25">
      <c r="A26" s="4"/>
      <c r="B26" s="3"/>
      <c r="C26" s="7"/>
      <c r="D26" s="8"/>
      <c r="E26" s="4"/>
      <c r="F26" s="3"/>
      <c r="G26" s="7"/>
      <c r="H26" s="8"/>
    </row>
    <row r="27" spans="1:8" x14ac:dyDescent="0.25">
      <c r="A27" s="4"/>
      <c r="B27" s="3"/>
      <c r="C27" s="7"/>
      <c r="D27" s="8"/>
      <c r="E27" s="4"/>
      <c r="F27" s="3"/>
      <c r="G27" s="7"/>
      <c r="H27" s="8"/>
    </row>
    <row r="28" spans="1:8" x14ac:dyDescent="0.25">
      <c r="A28" s="4"/>
      <c r="B28" s="3"/>
      <c r="C28" s="7"/>
      <c r="D28" s="8"/>
      <c r="E28" s="4"/>
      <c r="F28" s="3"/>
      <c r="G28" s="7"/>
      <c r="H28" s="8"/>
    </row>
    <row r="29" spans="1:8" x14ac:dyDescent="0.25">
      <c r="A29" s="4"/>
      <c r="B29" s="3"/>
      <c r="C29" s="7"/>
      <c r="D29" s="8"/>
      <c r="E29" s="4"/>
      <c r="F29" s="3"/>
      <c r="G29" s="7"/>
      <c r="H29" s="8"/>
    </row>
    <row r="30" spans="1:8" ht="15.75" x14ac:dyDescent="0.25">
      <c r="A30" s="2" t="s">
        <v>24</v>
      </c>
      <c r="B30" s="5"/>
      <c r="C30" s="7"/>
      <c r="D30" s="8"/>
      <c r="E30" s="4"/>
      <c r="F30" s="5"/>
      <c r="G30" s="7"/>
      <c r="H30" s="8"/>
    </row>
  </sheetData>
  <mergeCells count="2">
    <mergeCell ref="B3:D3"/>
    <mergeCell ref="F3:H3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2"/>
  <sheetViews>
    <sheetView workbookViewId="0">
      <selection activeCell="A24" sqref="A24"/>
    </sheetView>
  </sheetViews>
  <sheetFormatPr defaultRowHeight="15" x14ac:dyDescent="0.25"/>
  <sheetData>
    <row r="3" spans="2:8" x14ac:dyDescent="0.25">
      <c r="B3" s="16"/>
      <c r="C3" s="16"/>
      <c r="D3" s="16"/>
      <c r="E3" s="16"/>
      <c r="F3" s="16"/>
      <c r="G3" s="16"/>
      <c r="H3" s="16"/>
    </row>
    <row r="5" spans="2:8" x14ac:dyDescent="0.25">
      <c r="B5" s="16"/>
      <c r="C5" s="16"/>
      <c r="D5" s="16"/>
      <c r="E5" s="16"/>
      <c r="F5" s="16"/>
      <c r="G5" s="16"/>
      <c r="H5" s="16"/>
    </row>
    <row r="8" spans="2:8" x14ac:dyDescent="0.25">
      <c r="B8" s="16"/>
      <c r="C8" s="16"/>
      <c r="D8" s="16"/>
      <c r="E8" s="16"/>
      <c r="F8" s="16"/>
      <c r="G8" s="16"/>
      <c r="H8" s="16"/>
    </row>
    <row r="14" spans="2:8" x14ac:dyDescent="0.25">
      <c r="B14" s="16"/>
      <c r="C14" s="16"/>
      <c r="D14" s="16"/>
      <c r="E14" s="16"/>
      <c r="F14" s="16"/>
      <c r="G14" s="16"/>
      <c r="H14" s="16"/>
    </row>
    <row r="15" spans="2:8" x14ac:dyDescent="0.25">
      <c r="B15" s="16"/>
      <c r="C15" s="16"/>
      <c r="D15" s="16"/>
      <c r="E15" s="16"/>
      <c r="F15" s="16"/>
      <c r="G15" s="16"/>
      <c r="H15" s="16"/>
    </row>
    <row r="22" spans="2:8" x14ac:dyDescent="0.25">
      <c r="B22" s="16"/>
      <c r="C22" s="16"/>
      <c r="D22" s="16"/>
      <c r="E22" s="16"/>
      <c r="F22" s="16"/>
      <c r="G22" s="16"/>
      <c r="H22" s="1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2"/>
  <sheetViews>
    <sheetView workbookViewId="0">
      <selection activeCell="A24" sqref="A24"/>
    </sheetView>
  </sheetViews>
  <sheetFormatPr defaultRowHeight="15" x14ac:dyDescent="0.25"/>
  <sheetData>
    <row r="3" spans="2:8" x14ac:dyDescent="0.25">
      <c r="B3" s="16"/>
      <c r="C3" s="16"/>
      <c r="D3" s="16"/>
      <c r="E3" s="16"/>
      <c r="F3" s="16"/>
      <c r="G3" s="16"/>
      <c r="H3" s="16"/>
    </row>
    <row r="5" spans="2:8" x14ac:dyDescent="0.25">
      <c r="B5" s="16"/>
      <c r="C5" s="16"/>
      <c r="D5" s="16"/>
      <c r="E5" s="16"/>
      <c r="F5" s="16"/>
      <c r="G5" s="16"/>
      <c r="H5" s="16"/>
    </row>
    <row r="8" spans="2:8" x14ac:dyDescent="0.25">
      <c r="B8" s="16"/>
      <c r="C8" s="16"/>
      <c r="D8" s="16"/>
      <c r="E8" s="16"/>
      <c r="F8" s="16"/>
      <c r="G8" s="16"/>
      <c r="H8" s="16"/>
    </row>
    <row r="14" spans="2:8" x14ac:dyDescent="0.25">
      <c r="B14" s="16"/>
      <c r="C14" s="16"/>
      <c r="D14" s="16"/>
      <c r="E14" s="16"/>
      <c r="F14" s="16"/>
      <c r="G14" s="16"/>
      <c r="H14" s="16"/>
    </row>
    <row r="15" spans="2:8" x14ac:dyDescent="0.25">
      <c r="B15" s="16"/>
      <c r="C15" s="16"/>
      <c r="D15" s="16"/>
      <c r="E15" s="16"/>
      <c r="F15" s="16"/>
      <c r="G15" s="16"/>
      <c r="H15" s="16"/>
    </row>
    <row r="22" spans="2:8" x14ac:dyDescent="0.25">
      <c r="B22" s="16"/>
      <c r="C22" s="16"/>
      <c r="D22" s="16"/>
      <c r="E22" s="16"/>
      <c r="F22" s="16"/>
      <c r="G22" s="16"/>
      <c r="H22" s="1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DRE</vt:lpstr>
      <vt:lpstr>Modelo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cp:lastPrinted>2013-08-28T11:05:46Z</cp:lastPrinted>
  <dcterms:created xsi:type="dcterms:W3CDTF">2013-08-28T02:41:29Z</dcterms:created>
  <dcterms:modified xsi:type="dcterms:W3CDTF">2013-08-28T11:06:53Z</dcterms:modified>
</cp:coreProperties>
</file>