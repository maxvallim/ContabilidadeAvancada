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11760" windowHeight="6075" activeTab="3"/>
  </bookViews>
  <sheets>
    <sheet name="1 - Fatos" sheetId="2" r:id="rId1"/>
    <sheet name="1 - Fatos (2)" sheetId="7" r:id="rId2"/>
    <sheet name="1 - BP" sheetId="3" r:id="rId3"/>
    <sheet name="2 - Dados" sheetId="1" r:id="rId4"/>
    <sheet name="2 - Classificação" sheetId="4" r:id="rId5"/>
    <sheet name="3 - Dados" sheetId="5" r:id="rId6"/>
    <sheet name="3 - Classificação" sheetId="6" r:id="rId7"/>
  </sheets>
  <calcPr calcId="144525"/>
</workbook>
</file>

<file path=xl/calcChain.xml><?xml version="1.0" encoding="utf-8"?>
<calcChain xmlns="http://schemas.openxmlformats.org/spreadsheetml/2006/main">
  <c r="D22" i="6" l="1"/>
  <c r="D13" i="6"/>
  <c r="D11" i="3"/>
  <c r="B6" i="3"/>
  <c r="B7" i="3"/>
  <c r="B5" i="3"/>
  <c r="B11" i="3"/>
  <c r="B13" i="3"/>
  <c r="D10" i="3"/>
  <c r="D13" i="3" s="1"/>
  <c r="C14" i="4" l="1"/>
  <c r="C8" i="4"/>
</calcChain>
</file>

<file path=xl/sharedStrings.xml><?xml version="1.0" encoding="utf-8"?>
<sst xmlns="http://schemas.openxmlformats.org/spreadsheetml/2006/main" count="121" uniqueCount="45">
  <si>
    <t>Fornecedores</t>
  </si>
  <si>
    <t>Duplicatas a Receber</t>
  </si>
  <si>
    <t>Máquinas e Equipamentos</t>
  </si>
  <si>
    <t>Estoques</t>
  </si>
  <si>
    <t>FGTS a Pagar</t>
  </si>
  <si>
    <t>Caixa</t>
  </si>
  <si>
    <t>Veículos</t>
  </si>
  <si>
    <t>Marcas e Patentes</t>
  </si>
  <si>
    <t>Capital Social</t>
  </si>
  <si>
    <t>Financiamentos a Pagar (longo prazo)</t>
  </si>
  <si>
    <t>P</t>
  </si>
  <si>
    <t>A</t>
  </si>
  <si>
    <t>Fato 1</t>
  </si>
  <si>
    <t>ATIVO</t>
  </si>
  <si>
    <t>PASSIVO</t>
  </si>
  <si>
    <t>PL</t>
  </si>
  <si>
    <t>Criação da empresa - aporte de capital dos sócios em dinheiro no Caixa</t>
  </si>
  <si>
    <t>Fato 2</t>
  </si>
  <si>
    <t>Aquisição de móveis - pagamento a vista em dinheiro</t>
  </si>
  <si>
    <t>Circulante</t>
  </si>
  <si>
    <t>Não Circulante</t>
  </si>
  <si>
    <t>Imobilizado</t>
  </si>
  <si>
    <t>Resultado</t>
  </si>
  <si>
    <t>Fato 3</t>
  </si>
  <si>
    <t>Compra de Mercadorias a Prazo</t>
  </si>
  <si>
    <t>Fato 4</t>
  </si>
  <si>
    <t>Venda de Mercadorias a Prazo</t>
  </si>
  <si>
    <t>Contas a Receber</t>
  </si>
  <si>
    <t>Fato 5</t>
  </si>
  <si>
    <t>Apuração do Estoque - saldo no final do mês</t>
  </si>
  <si>
    <t>Reserva Legal</t>
  </si>
  <si>
    <t>Investimentos na empresa ABC</t>
  </si>
  <si>
    <t>Depreciação Acumulada Máquinas e Equipamentos</t>
  </si>
  <si>
    <t>Edifícios</t>
  </si>
  <si>
    <t>Reserva de Lucros a Realizar</t>
  </si>
  <si>
    <t>Depreciação Acumulada de Veículos</t>
  </si>
  <si>
    <t>Depreciação Acumulada de Edifícios</t>
  </si>
  <si>
    <t>Financiamentos a Pagar (curto prazo)</t>
  </si>
  <si>
    <t>Reserva para Contingência</t>
  </si>
  <si>
    <t>Duplicatas a Receber - Longo Prazo</t>
  </si>
  <si>
    <t>Duplicatas a Receber (Longo Prazo)</t>
  </si>
  <si>
    <t>Duplicatas a Receber (LP)</t>
  </si>
  <si>
    <t>Aquisição de veiculo - Empréstimo Bancário</t>
  </si>
  <si>
    <t>Venda de Mercadorias a Vista</t>
  </si>
  <si>
    <t>Criação da empresa - aporte de capital dos sócios (depósito banco)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</si>
</sst>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43" fontId="0" fillId="0" borderId="0" xfId="1" applyFont="1" applyBorder="1"/>
    <xf numFmtId="43" fontId="0" fillId="0" borderId="1" xfId="0" applyNumberFormat="1" applyBorder="1"/>
    <xf numFmtId="43" fontId="0" fillId="0" borderId="0" xfId="1" applyFont="1"/>
    <xf numFmtId="43" fontId="2" fillId="0" borderId="1" xfId="1" applyFont="1" applyBorder="1"/>
    <xf numFmtId="43" fontId="0" fillId="0" borderId="4" xfId="1" applyFont="1" applyFill="1" applyBorder="1"/>
    <xf numFmtId="43" fontId="0" fillId="0" borderId="1" xfId="1" applyFont="1" applyFill="1" applyBorder="1"/>
    <xf numFmtId="43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3" fontId="2" fillId="0" borderId="2" xfId="1" applyFont="1" applyBorder="1" applyAlignment="1">
      <alignment horizontal="center"/>
    </xf>
    <xf numFmtId="43" fontId="2" fillId="0" borderId="3" xfId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6"/>
  <sheetViews>
    <sheetView topLeftCell="B1" zoomScale="150" zoomScaleNormal="150" workbookViewId="0">
      <selection activeCell="D2" sqref="D2:D6"/>
    </sheetView>
  </sheetViews>
  <sheetFormatPr defaultRowHeight="15" x14ac:dyDescent="0.25"/>
  <cols>
    <col min="2" max="2" width="2" bestFit="1" customWidth="1"/>
    <col min="3" max="3" width="65" bestFit="1" customWidth="1"/>
    <col min="4" max="4" width="10.5703125" style="8" bestFit="1" customWidth="1"/>
    <col min="5" max="5" width="10.5703125" bestFit="1" customWidth="1"/>
  </cols>
  <sheetData>
    <row r="2" spans="1:5" x14ac:dyDescent="0.25">
      <c r="A2" t="s">
        <v>12</v>
      </c>
      <c r="B2">
        <v>1</v>
      </c>
      <c r="C2" t="s">
        <v>16</v>
      </c>
      <c r="D2" s="8">
        <v>20000</v>
      </c>
    </row>
    <row r="3" spans="1:5" x14ac:dyDescent="0.25">
      <c r="A3" t="s">
        <v>17</v>
      </c>
      <c r="B3">
        <v>2</v>
      </c>
      <c r="C3" t="s">
        <v>18</v>
      </c>
      <c r="D3" s="8">
        <v>5000</v>
      </c>
    </row>
    <row r="4" spans="1:5" x14ac:dyDescent="0.25">
      <c r="A4" t="s">
        <v>23</v>
      </c>
      <c r="B4">
        <v>3</v>
      </c>
      <c r="C4" t="s">
        <v>24</v>
      </c>
      <c r="D4" s="8">
        <v>10000</v>
      </c>
    </row>
    <row r="5" spans="1:5" x14ac:dyDescent="0.25">
      <c r="A5" t="s">
        <v>25</v>
      </c>
      <c r="B5">
        <v>4</v>
      </c>
      <c r="C5" t="s">
        <v>26</v>
      </c>
      <c r="D5" s="8">
        <v>15000</v>
      </c>
    </row>
    <row r="6" spans="1:5" x14ac:dyDescent="0.25">
      <c r="A6" t="s">
        <v>28</v>
      </c>
      <c r="B6">
        <v>5</v>
      </c>
      <c r="C6" t="s">
        <v>29</v>
      </c>
      <c r="D6" s="8">
        <v>0</v>
      </c>
    </row>
    <row r="11" spans="1:5" x14ac:dyDescent="0.25">
      <c r="E11" s="12"/>
    </row>
    <row r="16" spans="1:5" x14ac:dyDescent="0.25">
      <c r="E16" s="1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zoomScale="175" zoomScaleNormal="175" workbookViewId="0"/>
  </sheetViews>
  <sheetFormatPr defaultRowHeight="15" x14ac:dyDescent="0.25"/>
  <cols>
    <col min="1" max="1" width="57.85546875" customWidth="1"/>
    <col min="2" max="2" width="10.7109375" style="8" bestFit="1" customWidth="1"/>
    <col min="3" max="3" width="10.5703125" bestFit="1" customWidth="1"/>
  </cols>
  <sheetData>
    <row r="2" spans="1:3" x14ac:dyDescent="0.25">
      <c r="A2" t="s">
        <v>44</v>
      </c>
      <c r="B2" s="8">
        <v>35000</v>
      </c>
    </row>
    <row r="3" spans="1:3" x14ac:dyDescent="0.25">
      <c r="A3" t="s">
        <v>42</v>
      </c>
      <c r="B3" s="8">
        <v>45000</v>
      </c>
    </row>
    <row r="4" spans="1:3" x14ac:dyDescent="0.25">
      <c r="A4" t="s">
        <v>24</v>
      </c>
      <c r="B4" s="8">
        <v>20000</v>
      </c>
    </row>
    <row r="5" spans="1:3" x14ac:dyDescent="0.25">
      <c r="A5" t="s">
        <v>43</v>
      </c>
      <c r="B5" s="8">
        <v>15000</v>
      </c>
    </row>
    <row r="6" spans="1:3" x14ac:dyDescent="0.25">
      <c r="A6" t="s">
        <v>29</v>
      </c>
      <c r="B6" s="8">
        <v>0</v>
      </c>
    </row>
    <row r="11" spans="1:3" x14ac:dyDescent="0.25">
      <c r="C11" s="12"/>
    </row>
    <row r="16" spans="1:3" x14ac:dyDescent="0.25">
      <c r="C16" s="1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3"/>
  <sheetViews>
    <sheetView workbookViewId="0">
      <selection activeCell="C6" sqref="C6"/>
    </sheetView>
  </sheetViews>
  <sheetFormatPr defaultRowHeight="15" x14ac:dyDescent="0.25"/>
  <cols>
    <col min="1" max="1" width="16.5703125" customWidth="1"/>
    <col min="2" max="2" width="16.5703125" style="8" customWidth="1"/>
    <col min="3" max="3" width="16.7109375" style="8" customWidth="1"/>
    <col min="4" max="4" width="18" style="8" customWidth="1"/>
    <col min="5" max="5" width="9.140625" style="8"/>
  </cols>
  <sheetData>
    <row r="3" spans="1:4" x14ac:dyDescent="0.25">
      <c r="A3" s="13" t="s">
        <v>13</v>
      </c>
      <c r="B3" s="14"/>
      <c r="C3" s="15" t="s">
        <v>14</v>
      </c>
      <c r="D3" s="16"/>
    </row>
    <row r="4" spans="1:4" x14ac:dyDescent="0.25">
      <c r="A4" s="1" t="s">
        <v>19</v>
      </c>
      <c r="B4" s="2"/>
      <c r="C4" s="2" t="s">
        <v>19</v>
      </c>
      <c r="D4" s="2"/>
    </row>
    <row r="5" spans="1:4" x14ac:dyDescent="0.25">
      <c r="A5" s="1" t="s">
        <v>5</v>
      </c>
      <c r="B5" s="2">
        <f>20000-5000</f>
        <v>15000</v>
      </c>
      <c r="C5" s="2" t="s">
        <v>0</v>
      </c>
      <c r="D5" s="2">
        <v>10000</v>
      </c>
    </row>
    <row r="6" spans="1:4" x14ac:dyDescent="0.25">
      <c r="A6" s="1" t="s">
        <v>3</v>
      </c>
      <c r="B6" s="2">
        <f>10000-10000</f>
        <v>0</v>
      </c>
      <c r="C6" s="2"/>
      <c r="D6" s="2"/>
    </row>
    <row r="7" spans="1:4" x14ac:dyDescent="0.25">
      <c r="A7" s="1" t="s">
        <v>27</v>
      </c>
      <c r="B7" s="2">
        <f>15000</f>
        <v>15000</v>
      </c>
      <c r="C7" s="2"/>
      <c r="D7" s="2"/>
    </row>
    <row r="8" spans="1:4" x14ac:dyDescent="0.25">
      <c r="A8" s="1"/>
      <c r="B8" s="2"/>
      <c r="C8" s="2"/>
      <c r="D8" s="2"/>
    </row>
    <row r="9" spans="1:4" x14ac:dyDescent="0.25">
      <c r="A9" s="1"/>
      <c r="B9" s="2"/>
      <c r="C9" s="9" t="s">
        <v>15</v>
      </c>
      <c r="D9" s="2"/>
    </row>
    <row r="10" spans="1:4" x14ac:dyDescent="0.25">
      <c r="A10" s="1" t="s">
        <v>20</v>
      </c>
      <c r="B10" s="2"/>
      <c r="C10" s="2" t="s">
        <v>8</v>
      </c>
      <c r="D10" s="2">
        <f>20000</f>
        <v>20000</v>
      </c>
    </row>
    <row r="11" spans="1:4" x14ac:dyDescent="0.25">
      <c r="A11" s="1" t="s">
        <v>21</v>
      </c>
      <c r="B11" s="2">
        <f>5000</f>
        <v>5000</v>
      </c>
      <c r="C11" s="2" t="s">
        <v>22</v>
      </c>
      <c r="D11" s="2">
        <f>15000-10000</f>
        <v>5000</v>
      </c>
    </row>
    <row r="12" spans="1:4" x14ac:dyDescent="0.25">
      <c r="A12" s="1"/>
      <c r="B12" s="2"/>
      <c r="C12" s="2"/>
      <c r="D12" s="2"/>
    </row>
    <row r="13" spans="1:4" x14ac:dyDescent="0.25">
      <c r="A13" s="1"/>
      <c r="B13" s="9">
        <f>SUM(B4:B12)</f>
        <v>35000</v>
      </c>
      <c r="C13" s="9"/>
      <c r="D13" s="9">
        <f>SUM(D4:D12)</f>
        <v>35000</v>
      </c>
    </row>
  </sheetData>
  <mergeCells count="2">
    <mergeCell ref="A3:B3"/>
    <mergeCell ref="C3:D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zoomScale="130" zoomScaleNormal="130" workbookViewId="0"/>
  </sheetViews>
  <sheetFormatPr defaultRowHeight="15" x14ac:dyDescent="0.25"/>
  <cols>
    <col min="1" max="1" width="34.7109375" bestFit="1" customWidth="1"/>
    <col min="2" max="2" width="11.42578125" customWidth="1"/>
  </cols>
  <sheetData>
    <row r="1" spans="1:2" x14ac:dyDescent="0.25">
      <c r="A1" s="1" t="s">
        <v>0</v>
      </c>
      <c r="B1" s="2">
        <v>32000</v>
      </c>
    </row>
    <row r="2" spans="1:2" x14ac:dyDescent="0.25">
      <c r="A2" s="1" t="s">
        <v>1</v>
      </c>
      <c r="B2" s="2">
        <v>27400</v>
      </c>
    </row>
    <row r="3" spans="1:2" x14ac:dyDescent="0.25">
      <c r="A3" s="1" t="s">
        <v>2</v>
      </c>
      <c r="B3" s="2">
        <v>5000</v>
      </c>
    </row>
    <row r="4" spans="1:2" x14ac:dyDescent="0.25">
      <c r="A4" s="1" t="s">
        <v>3</v>
      </c>
      <c r="B4" s="2">
        <v>5000</v>
      </c>
    </row>
    <row r="5" spans="1:2" x14ac:dyDescent="0.25">
      <c r="A5" s="1" t="s">
        <v>4</v>
      </c>
      <c r="B5" s="2">
        <v>3500</v>
      </c>
    </row>
    <row r="6" spans="1:2" x14ac:dyDescent="0.25">
      <c r="A6" s="1" t="s">
        <v>5</v>
      </c>
      <c r="B6" s="2">
        <v>5000</v>
      </c>
    </row>
    <row r="7" spans="1:2" x14ac:dyDescent="0.25">
      <c r="A7" s="1" t="s">
        <v>6</v>
      </c>
      <c r="B7" s="2">
        <v>8000</v>
      </c>
    </row>
    <row r="8" spans="1:2" x14ac:dyDescent="0.25">
      <c r="A8" s="1" t="s">
        <v>40</v>
      </c>
      <c r="B8" s="2">
        <v>25000</v>
      </c>
    </row>
    <row r="9" spans="1:2" x14ac:dyDescent="0.25">
      <c r="A9" s="1" t="s">
        <v>7</v>
      </c>
      <c r="B9" s="2">
        <v>12000</v>
      </c>
    </row>
    <row r="10" spans="1:2" x14ac:dyDescent="0.25">
      <c r="A10" s="1" t="s">
        <v>8</v>
      </c>
      <c r="B10" s="2">
        <v>20000</v>
      </c>
    </row>
    <row r="11" spans="1:2" x14ac:dyDescent="0.25">
      <c r="A11" s="1" t="s">
        <v>9</v>
      </c>
      <c r="B11" s="2">
        <v>31900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14" sqref="C14"/>
    </sheetView>
  </sheetViews>
  <sheetFormatPr defaultRowHeight="15" x14ac:dyDescent="0.25"/>
  <cols>
    <col min="1" max="1" width="5.85546875" customWidth="1"/>
    <col min="2" max="2" width="34.7109375" bestFit="1" customWidth="1"/>
    <col min="3" max="3" width="11.42578125" customWidth="1"/>
  </cols>
  <sheetData>
    <row r="1" spans="1:3" x14ac:dyDescent="0.25">
      <c r="A1" s="3" t="s">
        <v>11</v>
      </c>
      <c r="B1" s="1" t="s">
        <v>2</v>
      </c>
      <c r="C1" s="2">
        <v>5000</v>
      </c>
    </row>
    <row r="2" spans="1:3" x14ac:dyDescent="0.25">
      <c r="A2" s="3" t="s">
        <v>11</v>
      </c>
      <c r="B2" s="1" t="s">
        <v>3</v>
      </c>
      <c r="C2" s="2">
        <v>5000</v>
      </c>
    </row>
    <row r="3" spans="1:3" x14ac:dyDescent="0.25">
      <c r="A3" s="3" t="s">
        <v>11</v>
      </c>
      <c r="B3" s="1" t="s">
        <v>5</v>
      </c>
      <c r="C3" s="2">
        <v>5000</v>
      </c>
    </row>
    <row r="4" spans="1:3" x14ac:dyDescent="0.25">
      <c r="A4" s="3" t="s">
        <v>11</v>
      </c>
      <c r="B4" s="1" t="s">
        <v>6</v>
      </c>
      <c r="C4" s="2">
        <v>8000</v>
      </c>
    </row>
    <row r="5" spans="1:3" x14ac:dyDescent="0.25">
      <c r="A5" s="3" t="s">
        <v>11</v>
      </c>
      <c r="B5" s="1" t="s">
        <v>1</v>
      </c>
      <c r="C5" s="2">
        <v>25000</v>
      </c>
    </row>
    <row r="6" spans="1:3" x14ac:dyDescent="0.25">
      <c r="A6" s="3" t="s">
        <v>11</v>
      </c>
      <c r="B6" s="1" t="s">
        <v>7</v>
      </c>
      <c r="C6" s="2">
        <v>12000</v>
      </c>
    </row>
    <row r="7" spans="1:3" x14ac:dyDescent="0.25">
      <c r="A7" s="3" t="s">
        <v>11</v>
      </c>
      <c r="B7" s="1" t="s">
        <v>1</v>
      </c>
      <c r="C7" s="2">
        <v>27400</v>
      </c>
    </row>
    <row r="8" spans="1:3" s="5" customFormat="1" x14ac:dyDescent="0.25">
      <c r="A8" s="4"/>
      <c r="C8" s="2">
        <f>SUM(C1:C7)</f>
        <v>87400</v>
      </c>
    </row>
    <row r="9" spans="1:3" x14ac:dyDescent="0.25">
      <c r="A9" s="4"/>
      <c r="B9" s="5"/>
      <c r="C9" s="6"/>
    </row>
    <row r="10" spans="1:3" x14ac:dyDescent="0.25">
      <c r="A10" s="3" t="s">
        <v>10</v>
      </c>
      <c r="B10" s="1" t="s">
        <v>0</v>
      </c>
      <c r="C10" s="2">
        <v>32000</v>
      </c>
    </row>
    <row r="11" spans="1:3" x14ac:dyDescent="0.25">
      <c r="A11" s="3" t="s">
        <v>10</v>
      </c>
      <c r="B11" s="1" t="s">
        <v>4</v>
      </c>
      <c r="C11" s="2">
        <v>3500</v>
      </c>
    </row>
    <row r="12" spans="1:3" x14ac:dyDescent="0.25">
      <c r="A12" s="3" t="s">
        <v>10</v>
      </c>
      <c r="B12" s="1" t="s">
        <v>8</v>
      </c>
      <c r="C12" s="2">
        <v>20000</v>
      </c>
    </row>
    <row r="13" spans="1:3" x14ac:dyDescent="0.25">
      <c r="A13" s="3" t="s">
        <v>10</v>
      </c>
      <c r="B13" s="1" t="s">
        <v>9</v>
      </c>
      <c r="C13" s="2">
        <v>31900</v>
      </c>
    </row>
    <row r="14" spans="1:3" x14ac:dyDescent="0.25">
      <c r="C14" s="7">
        <f>SUM(C10:C13)</f>
        <v>87400</v>
      </c>
    </row>
  </sheetData>
  <sortState ref="A1:C11">
    <sortCondition ref="A1:A11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11" sqref="A11"/>
    </sheetView>
  </sheetViews>
  <sheetFormatPr defaultRowHeight="15" x14ac:dyDescent="0.25"/>
  <cols>
    <col min="1" max="1" width="47.140625" bestFit="1" customWidth="1"/>
    <col min="2" max="2" width="11.42578125" customWidth="1"/>
  </cols>
  <sheetData>
    <row r="1" spans="1:2" x14ac:dyDescent="0.25">
      <c r="A1" s="2" t="s">
        <v>0</v>
      </c>
      <c r="B1" s="2">
        <v>32000</v>
      </c>
    </row>
    <row r="2" spans="1:2" x14ac:dyDescent="0.25">
      <c r="A2" s="2" t="s">
        <v>1</v>
      </c>
      <c r="B2" s="2">
        <v>27400</v>
      </c>
    </row>
    <row r="3" spans="1:2" x14ac:dyDescent="0.25">
      <c r="A3" s="2" t="s">
        <v>30</v>
      </c>
      <c r="B3" s="2">
        <v>5000</v>
      </c>
    </row>
    <row r="4" spans="1:2" x14ac:dyDescent="0.25">
      <c r="A4" s="2" t="s">
        <v>31</v>
      </c>
      <c r="B4" s="2">
        <v>10000</v>
      </c>
    </row>
    <row r="5" spans="1:2" x14ac:dyDescent="0.25">
      <c r="A5" s="2" t="s">
        <v>2</v>
      </c>
      <c r="B5" s="2">
        <v>4000</v>
      </c>
    </row>
    <row r="6" spans="1:2" x14ac:dyDescent="0.25">
      <c r="A6" s="2" t="s">
        <v>3</v>
      </c>
      <c r="B6" s="2">
        <v>10000</v>
      </c>
    </row>
    <row r="7" spans="1:2" x14ac:dyDescent="0.25">
      <c r="A7" s="2" t="s">
        <v>4</v>
      </c>
      <c r="B7" s="2">
        <v>8000</v>
      </c>
    </row>
    <row r="8" spans="1:2" x14ac:dyDescent="0.25">
      <c r="A8" s="2" t="s">
        <v>5</v>
      </c>
      <c r="B8" s="2">
        <v>5000</v>
      </c>
    </row>
    <row r="9" spans="1:2" x14ac:dyDescent="0.25">
      <c r="A9" s="2" t="s">
        <v>32</v>
      </c>
      <c r="B9" s="2">
        <v>800</v>
      </c>
    </row>
    <row r="10" spans="1:2" x14ac:dyDescent="0.25">
      <c r="A10" s="2" t="s">
        <v>6</v>
      </c>
      <c r="B10" s="2">
        <v>8000</v>
      </c>
    </row>
    <row r="11" spans="1:2" x14ac:dyDescent="0.25">
      <c r="A11" s="2" t="s">
        <v>41</v>
      </c>
      <c r="B11" s="2">
        <v>25000</v>
      </c>
    </row>
    <row r="12" spans="1:2" x14ac:dyDescent="0.25">
      <c r="A12" s="10" t="s">
        <v>33</v>
      </c>
      <c r="B12" s="10">
        <v>10000</v>
      </c>
    </row>
    <row r="13" spans="1:2" x14ac:dyDescent="0.25">
      <c r="A13" s="10" t="s">
        <v>7</v>
      </c>
      <c r="B13" s="10">
        <v>5000</v>
      </c>
    </row>
    <row r="14" spans="1:2" x14ac:dyDescent="0.25">
      <c r="A14" s="11" t="s">
        <v>34</v>
      </c>
      <c r="B14" s="11">
        <v>12000</v>
      </c>
    </row>
    <row r="15" spans="1:2" x14ac:dyDescent="0.25">
      <c r="A15" s="11" t="s">
        <v>8</v>
      </c>
      <c r="B15" s="11">
        <v>20000</v>
      </c>
    </row>
    <row r="16" spans="1:2" x14ac:dyDescent="0.25">
      <c r="A16" s="11" t="s">
        <v>35</v>
      </c>
      <c r="B16" s="2">
        <v>1600</v>
      </c>
    </row>
    <row r="17" spans="1:2" x14ac:dyDescent="0.25">
      <c r="A17" s="11" t="s">
        <v>36</v>
      </c>
      <c r="B17" s="11">
        <v>2000</v>
      </c>
    </row>
    <row r="18" spans="1:2" x14ac:dyDescent="0.25">
      <c r="A18" s="11" t="s">
        <v>37</v>
      </c>
      <c r="B18" s="11">
        <v>10000</v>
      </c>
    </row>
    <row r="19" spans="1:2" x14ac:dyDescent="0.25">
      <c r="A19" s="11" t="s">
        <v>38</v>
      </c>
      <c r="B19" s="11">
        <v>3000</v>
      </c>
    </row>
    <row r="20" spans="1:2" x14ac:dyDescent="0.25">
      <c r="A20" s="11" t="s">
        <v>9</v>
      </c>
      <c r="B20" s="11">
        <v>10000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2" sqref="D22"/>
    </sheetView>
  </sheetViews>
  <sheetFormatPr defaultRowHeight="15" x14ac:dyDescent="0.25"/>
  <cols>
    <col min="1" max="1" width="2.28515625" bestFit="1" customWidth="1"/>
    <col min="2" max="2" width="47.140625" bestFit="1" customWidth="1"/>
    <col min="3" max="3" width="11.42578125" customWidth="1"/>
    <col min="4" max="4" width="13" customWidth="1"/>
  </cols>
  <sheetData>
    <row r="1" spans="1:4" x14ac:dyDescent="0.25">
      <c r="A1" s="1" t="s">
        <v>11</v>
      </c>
      <c r="B1" s="2" t="s">
        <v>39</v>
      </c>
      <c r="C1" s="2">
        <v>27400</v>
      </c>
    </row>
    <row r="2" spans="1:4" x14ac:dyDescent="0.25">
      <c r="A2" s="1" t="s">
        <v>11</v>
      </c>
      <c r="B2" s="2" t="s">
        <v>31</v>
      </c>
      <c r="C2" s="2">
        <v>10000</v>
      </c>
    </row>
    <row r="3" spans="1:4" x14ac:dyDescent="0.25">
      <c r="A3" s="1" t="s">
        <v>11</v>
      </c>
      <c r="B3" s="2" t="s">
        <v>2</v>
      </c>
      <c r="C3" s="2">
        <v>4000</v>
      </c>
    </row>
    <row r="4" spans="1:4" x14ac:dyDescent="0.25">
      <c r="A4" s="1" t="s">
        <v>11</v>
      </c>
      <c r="B4" s="2" t="s">
        <v>3</v>
      </c>
      <c r="C4" s="2">
        <v>10000</v>
      </c>
    </row>
    <row r="5" spans="1:4" x14ac:dyDescent="0.25">
      <c r="A5" s="1" t="s">
        <v>11</v>
      </c>
      <c r="B5" s="2" t="s">
        <v>5</v>
      </c>
      <c r="C5" s="2">
        <v>5000</v>
      </c>
    </row>
    <row r="6" spans="1:4" x14ac:dyDescent="0.25">
      <c r="A6" s="1" t="s">
        <v>11</v>
      </c>
      <c r="B6" s="2" t="s">
        <v>32</v>
      </c>
      <c r="C6" s="2">
        <v>-800</v>
      </c>
    </row>
    <row r="7" spans="1:4" x14ac:dyDescent="0.25">
      <c r="A7" s="1" t="s">
        <v>11</v>
      </c>
      <c r="B7" s="2" t="s">
        <v>6</v>
      </c>
      <c r="C7" s="2">
        <v>8000</v>
      </c>
    </row>
    <row r="8" spans="1:4" x14ac:dyDescent="0.25">
      <c r="A8" s="1" t="s">
        <v>11</v>
      </c>
      <c r="B8" s="2" t="s">
        <v>1</v>
      </c>
      <c r="C8" s="2">
        <v>25000</v>
      </c>
    </row>
    <row r="9" spans="1:4" x14ac:dyDescent="0.25">
      <c r="A9" s="1" t="s">
        <v>11</v>
      </c>
      <c r="B9" s="11" t="s">
        <v>33</v>
      </c>
      <c r="C9" s="11">
        <v>10000</v>
      </c>
    </row>
    <row r="10" spans="1:4" x14ac:dyDescent="0.25">
      <c r="A10" s="1" t="s">
        <v>11</v>
      </c>
      <c r="B10" s="11" t="s">
        <v>7</v>
      </c>
      <c r="C10" s="11">
        <v>5000</v>
      </c>
    </row>
    <row r="11" spans="1:4" x14ac:dyDescent="0.25">
      <c r="A11" s="1" t="s">
        <v>11</v>
      </c>
      <c r="B11" s="11" t="s">
        <v>35</v>
      </c>
      <c r="C11" s="2">
        <v>-1600</v>
      </c>
    </row>
    <row r="12" spans="1:4" x14ac:dyDescent="0.25">
      <c r="A12" s="1" t="s">
        <v>11</v>
      </c>
      <c r="B12" s="11" t="s">
        <v>36</v>
      </c>
      <c r="C12" s="11">
        <v>-2000</v>
      </c>
    </row>
    <row r="13" spans="1:4" x14ac:dyDescent="0.25">
      <c r="A13" s="1"/>
      <c r="B13" s="11"/>
      <c r="C13" s="11"/>
      <c r="D13" s="12">
        <f>SUM(C1:C12)</f>
        <v>100000</v>
      </c>
    </row>
    <row r="14" spans="1:4" x14ac:dyDescent="0.25">
      <c r="A14" s="1" t="s">
        <v>10</v>
      </c>
      <c r="B14" s="2" t="s">
        <v>0</v>
      </c>
      <c r="C14" s="2">
        <v>32000</v>
      </c>
    </row>
    <row r="15" spans="1:4" x14ac:dyDescent="0.25">
      <c r="A15" s="1" t="s">
        <v>10</v>
      </c>
      <c r="B15" s="2" t="s">
        <v>30</v>
      </c>
      <c r="C15" s="2">
        <v>5000</v>
      </c>
    </row>
    <row r="16" spans="1:4" x14ac:dyDescent="0.25">
      <c r="A16" s="1" t="s">
        <v>10</v>
      </c>
      <c r="B16" s="2" t="s">
        <v>4</v>
      </c>
      <c r="C16" s="2">
        <v>8000</v>
      </c>
    </row>
    <row r="17" spans="1:4" x14ac:dyDescent="0.25">
      <c r="A17" s="1" t="s">
        <v>10</v>
      </c>
      <c r="B17" s="11" t="s">
        <v>34</v>
      </c>
      <c r="C17" s="11">
        <v>12000</v>
      </c>
    </row>
    <row r="18" spans="1:4" x14ac:dyDescent="0.25">
      <c r="A18" s="1" t="s">
        <v>10</v>
      </c>
      <c r="B18" s="11" t="s">
        <v>8</v>
      </c>
      <c r="C18" s="11">
        <v>20000</v>
      </c>
    </row>
    <row r="19" spans="1:4" x14ac:dyDescent="0.25">
      <c r="A19" s="1" t="s">
        <v>10</v>
      </c>
      <c r="B19" s="11" t="s">
        <v>37</v>
      </c>
      <c r="C19" s="11">
        <v>10000</v>
      </c>
    </row>
    <row r="20" spans="1:4" x14ac:dyDescent="0.25">
      <c r="A20" s="1" t="s">
        <v>10</v>
      </c>
      <c r="B20" s="11" t="s">
        <v>38</v>
      </c>
      <c r="C20" s="11">
        <v>3000</v>
      </c>
    </row>
    <row r="21" spans="1:4" x14ac:dyDescent="0.25">
      <c r="A21" s="1" t="s">
        <v>10</v>
      </c>
      <c r="B21" s="11" t="s">
        <v>9</v>
      </c>
      <c r="C21" s="11">
        <v>10000</v>
      </c>
    </row>
    <row r="22" spans="1:4" x14ac:dyDescent="0.25">
      <c r="C22" s="12"/>
      <c r="D22" s="12">
        <f>SUM(C14:C21)</f>
        <v>100000</v>
      </c>
    </row>
  </sheetData>
  <sortState ref="A1:C20">
    <sortCondition ref="A1:A2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1 - Fatos</vt:lpstr>
      <vt:lpstr>1 - Fatos (2)</vt:lpstr>
      <vt:lpstr>1 - BP</vt:lpstr>
      <vt:lpstr>2 - Dados</vt:lpstr>
      <vt:lpstr>2 - Classificação</vt:lpstr>
      <vt:lpstr>3 - Dados</vt:lpstr>
      <vt:lpstr>3 - Classificação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Max Vallim</cp:lastModifiedBy>
  <dcterms:created xsi:type="dcterms:W3CDTF">2012-01-31T19:41:32Z</dcterms:created>
  <dcterms:modified xsi:type="dcterms:W3CDTF">2016-08-03T01:34:20Z</dcterms:modified>
</cp:coreProperties>
</file>